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up" sheetId="2" state="visible" r:id="rId2"/>
    <sheet xmlns:r="http://schemas.openxmlformats.org/officeDocument/2006/relationships" name="CO Log" sheetId="3" state="visible" r:id="rId3"/>
    <sheet xmlns:r="http://schemas.openxmlformats.org/officeDocument/2006/relationships" name="Schedule of Values" sheetId="4" state="visible" r:id="rId4"/>
    <sheet xmlns:r="http://schemas.openxmlformats.org/officeDocument/2006/relationships" name="Continuation Sheet" sheetId="5" state="visible" r:id="rId5"/>
    <sheet xmlns:r="http://schemas.openxmlformats.org/officeDocument/2006/relationships" name="Payment Application" sheetId="6" state="visible" r:id="rId6"/>
    <sheet xmlns:r="http://schemas.openxmlformats.org/officeDocument/2006/relationships" name="Change Order" sheetId="7" state="visible" r:id="rId7"/>
  </sheets>
  <definedNames>
    <definedName name="PrjName">Setup!$C$6</definedName>
    <definedName name="PrjNumber">Setup!$C$7</definedName>
    <definedName name="PrjAddress">Setup!$C$8</definedName>
    <definedName name="PrjId">Setup!$C$9</definedName>
    <definedName name="PayerName">Setup!$C$11</definedName>
    <definedName name="PayerAddress">Setup!$C$12</definedName>
    <definedName name="PayeeName">Setup!$C$14</definedName>
    <definedName name="PayeeAddress">Setup!$C$15</definedName>
    <definedName name="VendorId">Setup!$C$16</definedName>
    <definedName name="ThirdName">Setup!$C$18</definedName>
    <definedName name="ContractNo">Setup!$C$20</definedName>
    <definedName name="ContractDate">Setup!$C$21</definedName>
    <definedName name="OrigContractSum">Setup!$C$22</definedName>
    <definedName name="ContractId">Setup!$C$23</definedName>
    <definedName name="RetPctWork">Setup!$C$25</definedName>
    <definedName name="RetPctMatl">Setup!$C$26</definedName>
    <definedName name="AppNo">Setup!$C$28</definedName>
    <definedName name="AppDate">Setup!$C$29</definedName>
    <definedName name="PeriodFrom">Setup!$C$30</definedName>
    <definedName name="PeriodTo">Setup!$C$31</definedName>
    <definedName name="CO_NetTotal">'CO Log'!$I$47</definedName>
    <definedName name="CO_PrevAdd">'CO Log'!$E$49</definedName>
    <definedName name="CO_PrevDed">'CO Log'!$F$49</definedName>
    <definedName name="CO_ThisAdd">'CO Log'!$E$50</definedName>
    <definedName name="CO_ThisDed">'CO Log'!$F$50</definedName>
    <definedName name="SOV_ScheduledValue">'Schedule of Values'!$D$67</definedName>
    <definedName name="SOV_WorkPrevious">'Schedule of Values'!$E$67</definedName>
    <definedName name="SOV_WorkThisPeriod">'Schedule of Values'!$F$67</definedName>
    <definedName name="SOV_MaterialsStored">'Schedule of Values'!$G$67</definedName>
    <definedName name="SOV_TotalCompleted">'Schedule of Values'!$H$67</definedName>
    <definedName name="SOV_BalanceToFinish">'Schedule of Values'!$J$67</definedName>
    <definedName name="SOV_RetWorkPrior">'Schedule of Values'!$L$67</definedName>
    <definedName name="SOV_RetWorkThis">'Schedule of Values'!$M$67</definedName>
    <definedName name="SOV_RetWorkReleased">'Schedule of Values'!$N$67</definedName>
    <definedName name="SOV_RetMatlPrior">'Schedule of Values'!$P$67</definedName>
    <definedName name="SOV_RetMatlThis">'Schedule of Values'!$Q$67</definedName>
    <definedName name="SOV_RetMatlReleased">'Schedule of Values'!$R$67</definedName>
    <definedName name="SOV_RetTotal">'Schedule of Values'!$S$67</definedName>
    <definedName name="SOV_ChangeOrders">'Schedule of Values'!$D$65</definedName>
    <definedName name="APP_ContractSumToDate">'Payment Application'!$E$17</definedName>
    <definedName name="APP_TotalEarnedLessRet">'Payment Application'!$E$23</definedName>
    <definedName name="APP_CurrentPaymentDue">'Payment Application'!$E$25</definedName>
    <definedName name="_xlnm.Print_Titles" localSheetId="2">'CO Log'!$6:$6</definedName>
    <definedName name="_xlnm.Print_Titles" localSheetId="3">'Schedule of Values'!$9:$10</definedName>
    <definedName name="_xlnm.Print_Titles" localSheetId="4">'Continuation Sheet'!$9:$10</definedName>
  </definedNames>
  <calcPr calcId="124519" fullCalcOnLoad="1"/>
</workbook>
</file>

<file path=xl/styles.xml><?xml version="1.0" encoding="utf-8"?>
<styleSheet xmlns="http://schemas.openxmlformats.org/spreadsheetml/2006/main">
  <numFmts count="3">
    <numFmt numFmtId="164" formatCode="mm/dd/yyyy"/>
    <numFmt numFmtId="165" formatCode="#,##0.00;[Red](#,##0.00)"/>
    <numFmt numFmtId="166" formatCode="0.0&quot;%&quot;"/>
  </numFmts>
  <fonts count="16">
    <font>
      <name val="Calibri"/>
      <family val="2"/>
      <color theme="1"/>
      <sz val="11"/>
      <scheme val="minor"/>
    </font>
    <font>
      <name val="Calibri"/>
      <b val="1"/>
      <color rgb="00000000"/>
      <sz val="16"/>
    </font>
    <font>
      <name val="Calibri"/>
      <i val="1"/>
      <color rgb="00454545"/>
      <sz val="10"/>
    </font>
    <font>
      <name val="Calibri"/>
      <b val="1"/>
      <color rgb="00FFFFFF"/>
      <sz val="9"/>
    </font>
    <font>
      <name val="Calibri"/>
      <b val="1"/>
      <sz val="10"/>
    </font>
    <font>
      <name val="Calibri"/>
      <sz val="10"/>
    </font>
    <font>
      <name val="Calibri"/>
      <color rgb="00454545"/>
      <sz val="8"/>
    </font>
    <font>
      <name val="Calibri"/>
      <b val="1"/>
      <color rgb="00FD5602"/>
      <sz val="8"/>
    </font>
    <font>
      <name val="Calibri"/>
      <b val="1"/>
      <color rgb="00454545"/>
      <sz val="9"/>
    </font>
    <font>
      <name val="Calibri"/>
      <b val="1"/>
      <color rgb="00FD5602"/>
      <sz val="11"/>
    </font>
    <font>
      <name val="Calibri"/>
      <b val="1"/>
      <sz val="11"/>
    </font>
    <font>
      <name val="Calibri"/>
      <b val="1"/>
      <color rgb="00FFFFFF"/>
      <sz val="11"/>
    </font>
    <font>
      <name val="Calibri"/>
      <b val="1"/>
      <sz val="12"/>
    </font>
    <font>
      <name val="Calibri"/>
      <b val="1"/>
      <sz val="9"/>
    </font>
    <font>
      <name val="Calibri"/>
      <i val="1"/>
      <color rgb="00DB802E"/>
      <sz val="10"/>
    </font>
    <font>
      <name val="Calibri"/>
      <b val="1"/>
      <color rgb="00454545"/>
      <sz val="10"/>
    </font>
  </fonts>
  <fills count="8">
    <fill>
      <patternFill/>
    </fill>
    <fill>
      <patternFill patternType="gray125"/>
    </fill>
    <fill>
      <patternFill patternType="solid">
        <fgColor rgb="00FD5602"/>
      </patternFill>
    </fill>
    <fill>
      <patternFill patternType="solid">
        <fgColor rgb="00454545"/>
      </patternFill>
    </fill>
    <fill>
      <patternFill patternType="solid">
        <fgColor rgb="00FFFFFF"/>
      </patternFill>
    </fill>
    <fill>
      <patternFill patternType="solid">
        <fgColor rgb="00F7F7F6"/>
      </patternFill>
    </fill>
    <fill>
      <patternFill patternType="solid">
        <fgColor rgb="00FDEFE7"/>
      </patternFill>
    </fill>
    <fill>
      <patternFill patternType="solid">
        <fgColor rgb="00EDEBEA"/>
      </patternFill>
    </fill>
  </fills>
  <borders count="17">
    <border>
      <left/>
      <right/>
      <top/>
      <bottom/>
      <diagonal/>
    </border>
    <border>
      <left style="thin">
        <color rgb="00C9C6C5"/>
      </left>
      <right style="thin">
        <color rgb="00C9C6C5"/>
      </right>
      <top style="thin">
        <color rgb="00C9C6C5"/>
      </top>
      <bottom style="thin">
        <color rgb="00C9C6C5"/>
      </bottom>
    </border>
    <border>
      <left style="thin">
        <color rgb="00C9C6C5"/>
      </left>
      <right style="thin">
        <color rgb="00C9C6C5"/>
      </right>
      <top style="medium">
        <color rgb="00454545"/>
      </top>
      <bottom style="medium">
        <color rgb="00454545"/>
      </bottom>
    </border>
    <border>
      <left/>
      <right/>
      <top style="thin">
        <color rgb="00C9C6C5"/>
      </top>
      <bottom/>
      <diagonal/>
    </border>
    <border>
      <left/>
      <right style="thin">
        <color rgb="00C9C6C5"/>
      </right>
      <top style="thin">
        <color rgb="00C9C6C5"/>
      </top>
      <bottom/>
      <diagonal/>
    </border>
    <border>
      <left/>
      <right/>
      <top style="thin">
        <color rgb="00C9C6C5"/>
      </top>
      <bottom style="thin">
        <color rgb="00C9C6C5"/>
      </bottom>
      <diagonal/>
    </border>
    <border>
      <left/>
      <right style="thin">
        <color rgb="00C9C6C5"/>
      </right>
      <top style="thin">
        <color rgb="00C9C6C5"/>
      </top>
      <bottom style="thin">
        <color rgb="00C9C6C5"/>
      </bottom>
      <diagonal/>
    </border>
    <border>
      <left style="thin">
        <color rgb="00C9C6C5"/>
      </left>
      <right style="thin">
        <color rgb="00C9C6C5"/>
      </right>
      <top style="medium">
        <color rgb="00454545"/>
      </top>
      <bottom style="thin">
        <color rgb="00C9C6C5"/>
      </bottom>
    </border>
    <border>
      <bottom style="thin">
        <color rgb="00C9C6C5"/>
      </bottom>
    </border>
    <border>
      <left/>
      <right/>
      <top/>
      <bottom style="thin">
        <color rgb="00C9C6C5"/>
      </bottom>
      <diagonal/>
    </border>
    <border>
      <left style="thin">
        <color rgb="00C9C6C5"/>
      </left>
      <right/>
      <top/>
      <bottom/>
      <diagonal/>
    </border>
    <border>
      <left style="thin">
        <color rgb="00C9C6C5"/>
      </left>
      <right style="thin">
        <color rgb="00C9C6C5"/>
      </right>
      <top/>
      <bottom/>
      <diagonal/>
    </border>
    <border>
      <left style="thin">
        <color rgb="00C9C6C5"/>
      </left>
      <right style="thin">
        <color rgb="00C9C6C5"/>
      </right>
      <top/>
      <bottom style="thin">
        <color rgb="00C9C6C5"/>
      </bottom>
      <diagonal/>
    </border>
    <border>
      <left style="medium">
        <color rgb="00454545"/>
      </left>
      <right style="medium">
        <color rgb="00454545"/>
      </right>
      <top style="medium">
        <color rgb="00454545"/>
      </top>
      <bottom style="medium">
        <color rgb="00454545"/>
      </bottom>
    </border>
    <border>
      <left/>
      <right/>
      <top style="medium">
        <color rgb="00454545"/>
      </top>
      <bottom/>
      <diagonal/>
    </border>
    <border>
      <left/>
      <right style="medium">
        <color rgb="00454545"/>
      </right>
      <top style="medium">
        <color rgb="00454545"/>
      </top>
      <bottom/>
      <diagonal/>
    </border>
    <border>
      <left/>
      <right style="medium">
        <color rgb="00454545"/>
      </right>
      <top style="medium">
        <color rgb="00454545"/>
      </top>
      <bottom style="medium">
        <color rgb="00454545"/>
      </bottom>
      <diagonal/>
    </border>
  </borders>
  <cellStyleXfs count="1">
    <xf numFmtId="0" fontId="0" fillId="0" borderId="0"/>
  </cellStyleXfs>
  <cellXfs count="75">
    <xf numFmtId="0" fontId="0" fillId="0" borderId="0" pivotButton="0" quotePrefix="0" xfId="0"/>
    <xf numFmtId="0" fontId="0" fillId="2" borderId="0" pivotButton="0" quotePrefix="0" xfId="0"/>
    <xf numFmtId="0" fontId="1" fillId="0" borderId="0" pivotButton="0" quotePrefix="0" xfId="0"/>
    <xf numFmtId="0" fontId="14" fillId="0" borderId="0" pivotButton="0" quotePrefix="0" xfId="0"/>
    <xf numFmtId="0" fontId="11" fillId="3" borderId="0" pivotButton="0" quotePrefix="0" xfId="0"/>
    <xf numFmtId="0" fontId="5" fillId="0" borderId="0" applyAlignment="1" pivotButton="0" quotePrefix="0" xfId="0">
      <alignment vertical="top" wrapText="1"/>
    </xf>
    <xf numFmtId="0" fontId="15" fillId="0" borderId="0" pivotButton="0" quotePrefix="0" xfId="0"/>
    <xf numFmtId="0" fontId="6" fillId="0" borderId="0" pivotButton="0" quotePrefix="0" xfId="0"/>
    <xf numFmtId="0" fontId="2" fillId="0" borderId="0" pivotButton="0" quotePrefix="0" xfId="0"/>
    <xf numFmtId="0" fontId="3" fillId="3" borderId="0" pivotButton="0" quotePrefix="0" xfId="0"/>
    <xf numFmtId="0" fontId="4" fillId="0" borderId="0" applyAlignment="1" pivotButton="0" quotePrefix="0" xfId="0">
      <alignment vertical="top"/>
    </xf>
    <xf numFmtId="0" fontId="4" fillId="0" borderId="1" applyAlignment="1" pivotButton="0" quotePrefix="0" xfId="0">
      <alignment vertical="center"/>
    </xf>
    <xf numFmtId="0" fontId="5" fillId="4" borderId="1" pivotButton="0" quotePrefix="0" xfId="0"/>
    <xf numFmtId="0" fontId="6" fillId="0" borderId="0" applyAlignment="1" pivotButton="0" quotePrefix="0" xfId="0">
      <alignment vertical="top"/>
    </xf>
    <xf numFmtId="164" fontId="5" fillId="4" borderId="1" pivotButton="0" quotePrefix="0" xfId="0"/>
    <xf numFmtId="165" fontId="5" fillId="4" borderId="1" pivotButton="0" quotePrefix="0" xfId="0"/>
    <xf numFmtId="166" fontId="5" fillId="4" borderId="1" pivotButton="0" quotePrefix="0" xfId="0"/>
    <xf numFmtId="3" fontId="5" fillId="4" borderId="1" pivotButton="0" quotePrefix="0" xfId="0"/>
    <xf numFmtId="0" fontId="3" fillId="3" borderId="1" applyAlignment="1" pivotButton="0" quotePrefix="0" xfId="0">
      <alignment horizontal="center" vertical="center" wrapText="1"/>
    </xf>
    <xf numFmtId="165" fontId="5" fillId="5" borderId="1" pivotButton="0" quotePrefix="0" xfId="0"/>
    <xf numFmtId="0" fontId="0" fillId="6" borderId="2" pivotButton="0" quotePrefix="0" xfId="0"/>
    <xf numFmtId="0" fontId="4" fillId="6" borderId="2" pivotButton="0" quotePrefix="0" xfId="0"/>
    <xf numFmtId="165" fontId="4" fillId="6" borderId="2" pivotButton="0" quotePrefix="0" xfId="0"/>
    <xf numFmtId="0" fontId="4" fillId="0" borderId="0" pivotButton="0" quotePrefix="0" xfId="0"/>
    <xf numFmtId="0" fontId="5" fillId="0" borderId="0" pivotButton="0" quotePrefix="0" xfId="0"/>
    <xf numFmtId="3" fontId="5" fillId="0" borderId="0" pivotButton="0" quotePrefix="0" xfId="0"/>
    <xf numFmtId="164" fontId="5" fillId="0" borderId="0" pivotButton="0" quotePrefix="0" xfId="0"/>
    <xf numFmtId="0" fontId="7" fillId="7" borderId="1" applyAlignment="1" pivotButton="0" quotePrefix="0" xfId="0">
      <alignment horizontal="center"/>
    </xf>
    <xf numFmtId="0" fontId="8" fillId="7" borderId="1" pivotButton="0" quotePrefix="0" xfId="0"/>
    <xf numFmtId="0" fontId="0" fillId="0" borderId="5" pivotButton="0" quotePrefix="0" xfId="0"/>
    <xf numFmtId="0" fontId="0" fillId="0" borderId="6" pivotButton="0" quotePrefix="0" xfId="0"/>
    <xf numFmtId="0" fontId="0" fillId="7" borderId="1" pivotButton="0" quotePrefix="0" xfId="0"/>
    <xf numFmtId="166" fontId="5" fillId="5" borderId="1" pivotButton="0" quotePrefix="0" xfId="0"/>
    <xf numFmtId="0" fontId="0" fillId="7" borderId="7" pivotButton="0" quotePrefix="0" xfId="0"/>
    <xf numFmtId="0" fontId="4" fillId="7" borderId="7" pivotButton="0" quotePrefix="0" xfId="0"/>
    <xf numFmtId="165" fontId="4" fillId="7" borderId="7" pivotButton="0" quotePrefix="0" xfId="0"/>
    <xf numFmtId="166" fontId="4" fillId="7" borderId="7" pivotButton="0" quotePrefix="0" xfId="0"/>
    <xf numFmtId="0" fontId="9" fillId="6" borderId="2" pivotButton="0" quotePrefix="0" xfId="0"/>
    <xf numFmtId="165" fontId="10" fillId="6" borderId="2" pivotButton="0" quotePrefix="0" xfId="0"/>
    <xf numFmtId="166" fontId="10" fillId="6" borderId="2" pivotButton="0" quotePrefix="0" xfId="0"/>
    <xf numFmtId="0" fontId="6" fillId="0" borderId="0" applyAlignment="1" pivotButton="0" quotePrefix="0" xfId="0">
      <alignment vertical="top" wrapText="1"/>
    </xf>
    <xf numFmtId="0" fontId="4" fillId="0" borderId="0" applyAlignment="1" pivotButton="0" quotePrefix="0" xfId="0">
      <alignment horizontal="right"/>
    </xf>
    <xf numFmtId="3" fontId="5" fillId="0" borderId="8" pivotButton="0" quotePrefix="0" xfId="0"/>
    <xf numFmtId="0" fontId="0" fillId="0" borderId="9" pivotButton="0" quotePrefix="0" xfId="0"/>
    <xf numFmtId="164" fontId="5" fillId="0" borderId="8" pivotButton="0" quotePrefix="0" xfId="0"/>
    <xf numFmtId="0" fontId="5" fillId="0" borderId="8" pivotButton="0" quotePrefix="0" xfId="0"/>
    <xf numFmtId="0" fontId="3" fillId="3" borderId="1" applyAlignment="1" pivotButton="0" quotePrefix="0" xfId="0">
      <alignment horizontal="center" vertical="center"/>
    </xf>
    <xf numFmtId="0" fontId="0" fillId="0" borderId="12" pivotButton="0" quotePrefix="0" xfId="0"/>
    <xf numFmtId="0" fontId="5" fillId="0" borderId="1" pivotButton="0" quotePrefix="0" xfId="0"/>
    <xf numFmtId="165" fontId="5" fillId="0" borderId="1" pivotButton="0" quotePrefix="0" xfId="0"/>
    <xf numFmtId="166" fontId="5" fillId="0" borderId="1" pivotButton="0" quotePrefix="0" xfId="0"/>
    <xf numFmtId="0" fontId="10" fillId="6" borderId="2" pivotButton="0" quotePrefix="0" xfId="0"/>
    <xf numFmtId="0" fontId="3" fillId="3" borderId="1"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vertical="center" wrapText="1"/>
    </xf>
    <xf numFmtId="165" fontId="4" fillId="5" borderId="1" pivotButton="0" quotePrefix="0" xfId="0"/>
    <xf numFmtId="165" fontId="4" fillId="7" borderId="1" pivotButton="0" quotePrefix="0" xfId="0"/>
    <xf numFmtId="165" fontId="4" fillId="6" borderId="13" pivotButton="0" quotePrefix="0" xfId="0"/>
    <xf numFmtId="0" fontId="0" fillId="0" borderId="16" pivotButton="0" quotePrefix="0" xfId="0"/>
    <xf numFmtId="0" fontId="4" fillId="7" borderId="0" applyAlignment="1" pivotButton="0" quotePrefix="0" xfId="0">
      <alignment horizontal="center"/>
    </xf>
    <xf numFmtId="0" fontId="4" fillId="7" borderId="0" pivotButton="0" quotePrefix="0" xfId="0"/>
    <xf numFmtId="0" fontId="0" fillId="7" borderId="0" pivotButton="0" quotePrefix="0" xfId="0"/>
    <xf numFmtId="0" fontId="5" fillId="0" borderId="0" applyAlignment="1" pivotButton="0" quotePrefix="0" xfId="0">
      <alignment indent="2"/>
    </xf>
    <xf numFmtId="166" fontId="4" fillId="0" borderId="0" applyAlignment="1" pivotButton="0" quotePrefix="0" xfId="0">
      <alignment horizontal="right"/>
    </xf>
    <xf numFmtId="0" fontId="13" fillId="0" borderId="0" applyAlignment="1" pivotButton="0" quotePrefix="0" xfId="0">
      <alignment vertical="top" wrapText="1"/>
    </xf>
    <xf numFmtId="166" fontId="4" fillId="5" borderId="1" pivotButton="0" quotePrefix="0" xfId="0"/>
    <xf numFmtId="0" fontId="12" fillId="0" borderId="0" pivotButton="0" quotePrefix="0" xfId="0"/>
    <xf numFmtId="165" fontId="12" fillId="6" borderId="13" pivotButton="0" quotePrefix="0" xfId="0"/>
    <xf numFmtId="0" fontId="0" fillId="0" borderId="8" pivotButton="0" quotePrefix="0" xfId="0"/>
    <xf numFmtId="0" fontId="5" fillId="4" borderId="8" pivotButton="0" quotePrefix="0" xfId="0"/>
    <xf numFmtId="164" fontId="5" fillId="4" borderId="8" pivotButton="0" quotePrefix="0" xfId="0"/>
    <xf numFmtId="4" fontId="5" fillId="4" borderId="1" pivotButton="0" quotePrefix="0" xfId="0"/>
    <xf numFmtId="0" fontId="4" fillId="0" borderId="0" applyAlignment="1" pivotButton="0" quotePrefix="0" xfId="0">
      <alignment vertical="center" wrapText="1"/>
    </xf>
    <xf numFmtId="3" fontId="0" fillId="4" borderId="1" pivotButton="0" quotePrefix="0" xfId="0"/>
    <xf numFmtId="164"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1</col>
      <colOff>0</colOff>
      <row>0</row>
      <rowOff>0</rowOff>
    </from>
    <ext cx="14382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15</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7</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6</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4</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B39"/>
  <sheetViews>
    <sheetView showGridLines="0" workbookViewId="0">
      <selection activeCell="A1" sqref="A1"/>
    </sheetView>
  </sheetViews>
  <sheetFormatPr baseColWidth="8" defaultRowHeight="15"/>
  <cols>
    <col width="3" customWidth="1" min="1" max="1"/>
    <col width="114" customWidth="1" min="2" max="2"/>
  </cols>
  <sheetData>
    <row r="1" ht="3.5" customHeight="1">
      <c r="A1" s="1" t="n"/>
      <c r="B1" s="1" t="n"/>
    </row>
    <row r="2" ht="16" customHeight="1">
      <c r="B2" s="2" t="inlineStr">
        <is>
          <t>ALLEATO GROUP BILLING TEMPLATE — SUBCONTRACTOR BILLING</t>
        </is>
      </c>
    </row>
    <row r="3">
      <c r="B3" s="3" t="inlineStr">
        <is>
          <t>Your partner from the ground up.     ·     www.alleatogroup.com</t>
        </is>
      </c>
    </row>
    <row r="4">
      <c r="B4" s="4" t="inlineStr">
        <is>
          <t>WHAT THIS IS</t>
        </is>
      </c>
    </row>
    <row r="5" ht="45" customHeight="1">
      <c r="B5" s="5" t="inlineStr">
        <is>
          <t>Alleato Group’s standard billing package: Form APP (Application and Certificate for Payment), Form CS (Continuation Sheet) and Form CO (Change Order), built as live formulas so a pay application can be produced, checked and archived without retyping numbers.</t>
        </is>
      </c>
    </row>
    <row r="6" ht="15" customHeight="1">
      <c r="B6" s="5" t="inlineStr">
        <is>
          <t>Direction of billing: Subcontractor → Contractor.</t>
        </is>
      </c>
    </row>
    <row r="7">
      <c r="B7" s="4" t="inlineStr">
        <is>
          <t>SHEETS, IN THE ORDER YOU USE THEM</t>
        </is>
      </c>
    </row>
    <row r="8" ht="30" customHeight="1">
      <c r="B8" s="5" t="inlineStr">
        <is>
          <t>•  Setup — project, parties, contract sum, retainage rates, current application period. The only sheet where project data is typed.</t>
        </is>
      </c>
    </row>
    <row r="9" ht="30" customHeight="1">
      <c r="B9" s="5" t="inlineStr">
        <is>
          <t>•  CO Log — every change order. Status must read Approved or Executed to be picked up. The In Prior Application Y/N flag splits the change order summary between prior applications and this one.</t>
        </is>
      </c>
    </row>
    <row r="10" ht="60" customHeight="1">
      <c r="B10" s="5" t="inlineStr">
        <is>
          <t>•  Schedule of Values — the working sheet and the monthly data entry: Scheduled Value (col D), From Previous Application (col E), This Period (col F), Materials Presently Stored (col G), and the prior / released retainage columns. Everything else calculates. Wider than the Continuation Sheet because it carries the retainage detail the platform needs.</t>
        </is>
      </c>
    </row>
    <row r="11" ht="30" customHeight="1">
      <c r="B11" s="5" t="inlineStr">
        <is>
          <t>•  Continuation Sheet — Form CS. The same schedule of values in the standard columns A through I. Every cell is a formula from the Schedule of Values sheet; nothing is typed here. This is the copy you send out.</t>
        </is>
      </c>
    </row>
    <row r="12" ht="30" customHeight="1">
      <c r="B12" s="5" t="inlineStr">
        <is>
          <t>•  Payment Application — Form APP. Reads entirely from the Schedule of Values and CO Log. The only typed cell is Line 7, Less Previous Certificates for Payment.</t>
        </is>
      </c>
    </row>
    <row r="13" ht="15" customHeight="1">
      <c r="B13" s="5" t="inlineStr">
        <is>
          <t>•  Change Order — Form CO. One change order per sheet; duplicate the sheet as needed.</t>
        </is>
      </c>
    </row>
    <row r="14">
      <c r="B14" s="4" t="inlineStr">
        <is>
          <t>RETAINAGE — 5a / 5b SPLIT</t>
        </is>
      </c>
    </row>
    <row r="15" ht="45" customHeight="1">
      <c r="B15" s="5" t="inlineStr">
        <is>
          <t>Retainage is tracked per SOV line in three parts, matching how the platform stores it: PRIOR (withheld on earlier applications), THIS PERIOD (calculated from the rate), and RELEASED. Completed work and stored materials are tracked separately, which is what produces Line 5a and Line 5b.</t>
        </is>
      </c>
    </row>
    <row r="16" ht="45" customHeight="1">
      <c r="B16" s="5" t="inlineStr">
        <is>
          <t>Columns K and O hold the rates and default from Setup — override either on an individual line when that line carries a reduced rate. Columns M and Q calculate this period’s retainage. Columns L and P are typed: carry them forward from the prior application’s held balance.</t>
        </is>
      </c>
    </row>
    <row r="17" ht="45" customHeight="1">
      <c r="B17" s="5" t="inlineStr">
        <is>
          <t>To release retainage, enter the released amount as a POSITIVE number in column N (work) or column R (materials). Never adjust Line 5 directly — it must always foot to column S, and the sheet warns you if it does not.</t>
        </is>
      </c>
    </row>
    <row r="18" ht="30" customHeight="1">
      <c r="B18" s="5" t="inlineStr">
        <is>
          <t>All percentages in this workbook are entered out of 100 (type 10 for ten percent), matching the platform’s retainage_pct / work_completed_pct columns. Do not enter 0.10.</t>
        </is>
      </c>
    </row>
    <row r="19">
      <c r="B19" s="4" t="inlineStr">
        <is>
          <t>MONTHLY ROLLOVER</t>
        </is>
      </c>
    </row>
    <row r="20" ht="15" customHeight="1">
      <c r="B20" s="5" t="inlineStr">
        <is>
          <t>•  Save a copy of the workbook named for the new application number.</t>
        </is>
      </c>
    </row>
    <row r="21" ht="15" customHeight="1">
      <c r="B21" s="5" t="inlineStr">
        <is>
          <t>•  On Setup, bump Application No. and set the new Period From / Period To.</t>
        </is>
      </c>
    </row>
    <row r="22" ht="30" customHeight="1">
      <c r="B22" s="5" t="inlineStr">
        <is>
          <t>•  On the Schedule of Values, copy column H (Total Completed and Stored to Date) and paste-special as VALUES into column E (From Previous Application). Then clear columns F and G.</t>
        </is>
      </c>
    </row>
    <row r="23" ht="30" customHeight="1">
      <c r="B23" s="5" t="inlineStr">
        <is>
          <t>•  Also on the Schedule of Values, paste last month’s held retainage into columns L and P as VALUES (work: L + M − N; materials: P + Q − R), then clear columns N and R.</t>
        </is>
      </c>
    </row>
    <row r="24" ht="15" customHeight="1">
      <c r="B24" s="5" t="inlineStr">
        <is>
          <t>•  On the Payment Application, set Line 7 to the prior application’s Line 6.</t>
        </is>
      </c>
    </row>
    <row r="25" ht="15" customHeight="1">
      <c r="B25" s="5" t="inlineStr">
        <is>
          <t>•  On the CO Log, flip In Prior Application to Y for change orders that were on the last application.</t>
        </is>
      </c>
    </row>
    <row r="26">
      <c r="B26" s="4" t="inlineStr">
        <is>
          <t>BUILT-IN CHECKS</t>
        </is>
      </c>
    </row>
    <row r="27" ht="30" customHeight="1">
      <c r="B27" s="5" t="inlineStr">
        <is>
          <t>•  Tie-out: the Scheduled Value grand total must equal Line 3, Contract Sum to Date. The cell below the grand total reports OK or the variance.</t>
        </is>
      </c>
    </row>
    <row r="28" ht="15" customHeight="1">
      <c r="B28" s="5" t="inlineStr">
        <is>
          <t>•  Change order summary: net change must tie to Line 2. A warning appears if it does not.</t>
        </is>
      </c>
    </row>
    <row r="29" ht="15" customHeight="1">
      <c r="B29" s="5" t="inlineStr">
        <is>
          <t>•  Retainage: Lines 5a + 5b must foot to column S. A warning appears if they do not.</t>
        </is>
      </c>
    </row>
    <row r="30">
      <c r="B30" s="4" t="inlineStr">
        <is>
          <t>UPLOADING TO THE ALLEATO PM PLATFORM</t>
        </is>
      </c>
    </row>
    <row r="31" ht="45" customHeight="1">
      <c r="B31" s="5" t="inlineStr">
        <is>
          <t>The CSV templates shipped alongside this workbook map these sheets to the platform tables. The Schedule of Values columns line up one-for-one with the invoice line item columns, so a completed sheet can be copied straight into the CSV. See CSV-IMPORT-SPEC.md for the column mapping and required load order.</t>
        </is>
      </c>
    </row>
    <row r="32">
      <c r="B32" s="4" t="inlineStr">
        <is>
          <t>SCOPE OF THESE FORMS</t>
        </is>
      </c>
    </row>
    <row r="33" ht="90" customHeight="1">
      <c r="B33" s="5" t="inlineStr">
        <is>
          <t>These are Alleato Group forms. They follow the standard construction-industry application-for-payment structure — nine summary lines, the 5a / 5b retainage split, and a continuation sheet with columns A through I — so any owner, lender or subcontractor will read them without friction. Certification language is Alleato’s own. Where a contract specifies submission on a particular third-party form, obtain that form from its publisher and key the figures across from this workbook; use these forms for internal billing preparation, for subcontractor billing, and as the data source for the platform.</t>
        </is>
      </c>
    </row>
    <row r="35" ht="3.5" customHeight="1">
      <c r="A35" s="1" t="n"/>
      <c r="B35" s="1" t="n"/>
    </row>
    <row r="36">
      <c r="B36" s="6" t="inlineStr">
        <is>
          <t>ALLEATO GROUP  ·  www.alleatogroup.com</t>
        </is>
      </c>
    </row>
    <row r="37">
      <c r="B37" s="7" t="inlineStr">
        <is>
          <t>8383 Craig Street, Suite 150, Indianapolis, IN 46250</t>
        </is>
      </c>
    </row>
    <row r="38">
      <c r="B38" s="7" t="inlineStr">
        <is>
          <t>701 94th Avenue North, Suite 118, St. Petersburg, FL 33702</t>
        </is>
      </c>
    </row>
    <row r="39">
      <c r="B39" s="3" t="inlineStr">
        <is>
          <t>Your partner from the ground up.</t>
        </is>
      </c>
    </row>
  </sheetData>
  <pageMargins left="0.75" right="0.75" top="1" bottom="1" header="0.5" footer="0.5"/>
  <headerFooter>
    <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3" customWidth="1" min="1" max="1"/>
    <col width="34" customWidth="1" min="2" max="2"/>
    <col width="44" customWidth="1" min="3" max="3"/>
    <col width="3" customWidth="1" min="4" max="4"/>
    <col width="62" customWidth="1" min="5" max="5"/>
  </cols>
  <sheetData>
    <row r="1" ht="3.5" customHeight="1">
      <c r="A1" s="1" t="n"/>
      <c r="B1" s="1" t="n"/>
      <c r="C1" s="1" t="n"/>
      <c r="D1" s="1" t="n"/>
      <c r="E1" s="1" t="n"/>
    </row>
    <row r="2" ht="16" customHeight="1">
      <c r="B2" s="2" t="inlineStr">
        <is>
          <t>PROJECT &amp; CONTRACT SETUP</t>
        </is>
      </c>
    </row>
    <row r="3">
      <c r="B3" s="8" t="inlineStr">
        <is>
          <t>Fill the white cells once per contract. Every other sheet reads from here.</t>
        </is>
      </c>
    </row>
    <row r="5">
      <c r="B5" s="9" t="inlineStr">
        <is>
          <t>PROJECT</t>
        </is>
      </c>
      <c r="E5" s="10" t="inlineStr">
        <is>
          <t>HOW THIS WORKBOOK IS WIRED</t>
        </is>
      </c>
    </row>
    <row r="6">
      <c r="B6" s="11" t="inlineStr">
        <is>
          <t>Project Name</t>
        </is>
      </c>
      <c r="C6" s="12" t="n"/>
      <c r="E6" s="13" t="inlineStr">
        <is>
          <t>1.  Setup — project, parties, contract sum, retainage rates. Type here only.</t>
        </is>
      </c>
    </row>
    <row r="7">
      <c r="B7" s="11" t="inlineStr">
        <is>
          <t>Project Number</t>
        </is>
      </c>
      <c r="C7" s="12" t="n"/>
      <c r="E7" s="13" t="inlineStr">
        <is>
          <t>2.  CO Log — log every change order. Feeds the change order summary.</t>
        </is>
      </c>
    </row>
    <row r="8">
      <c r="B8" s="11" t="inlineStr">
        <is>
          <t>Project Address</t>
        </is>
      </c>
      <c r="C8" s="12" t="n"/>
      <c r="E8" s="13" t="inlineStr">
        <is>
          <t>3.  Schedule of Values — the SOV and the monthly data entry.</t>
        </is>
      </c>
    </row>
    <row r="9">
      <c r="B9" s="11" t="inlineStr">
        <is>
          <t>Alleato Project ID (projects.id)</t>
        </is>
      </c>
      <c r="C9" s="12" t="n"/>
      <c r="E9" s="13" t="inlineStr">
        <is>
          <t>4.  Payment Application — reads from the SOV + CO Log. Only Line 7 is typed.</t>
        </is>
      </c>
    </row>
    <row r="10">
      <c r="B10" s="9" t="inlineStr">
        <is>
          <t>CONTRACTOR — PAYING PARTY</t>
        </is>
      </c>
      <c r="E10" s="13" t="inlineStr">
        <is>
          <t>5.  Change Order — one per change. Copy the sheet as needed.</t>
        </is>
      </c>
    </row>
    <row r="11">
      <c r="B11" s="11" t="inlineStr">
        <is>
          <t>Contractor Name</t>
        </is>
      </c>
      <c r="C11" s="12" t="n"/>
      <c r="E11" s="10" t="inlineStr">
        <is>
          <t>MONTHLY ROLLOVER</t>
        </is>
      </c>
    </row>
    <row r="12">
      <c r="B12" s="11" t="inlineStr">
        <is>
          <t>Contractor Address</t>
        </is>
      </c>
      <c r="C12" s="12" t="n"/>
      <c r="E12" s="13" t="inlineStr">
        <is>
          <t>• Copy the workbook, bump Application No., set the new period dates.</t>
        </is>
      </c>
    </row>
    <row r="13">
      <c r="B13" s="9" t="inlineStr">
        <is>
          <t>SUBCONTRACTOR — PAID PARTY</t>
        </is>
      </c>
      <c r="E13" s="13" t="inlineStr">
        <is>
          <t>• On the SOV, paste last month’s column H into column E as VALUES, clear F and G.</t>
        </is>
      </c>
    </row>
    <row r="14">
      <c r="B14" s="11" t="inlineStr">
        <is>
          <t>Subcontractor Name</t>
        </is>
      </c>
      <c r="C14" s="12" t="n"/>
      <c r="E14" s="13" t="inlineStr">
        <is>
          <t>• On the Payment Application, set Line 7 to last month’s Line 6.</t>
        </is>
      </c>
    </row>
    <row r="15">
      <c r="B15" s="11" t="inlineStr">
        <is>
          <t>Subcontractor Address</t>
        </is>
      </c>
      <c r="C15" s="12" t="n"/>
      <c r="E15" s="13" t="inlineStr">
        <is>
          <t>• On CO Log, flip "In Prior Application" to Y for change orders already billed.</t>
        </is>
      </c>
    </row>
    <row r="16">
      <c r="B16" s="11" t="inlineStr">
        <is>
          <t>Vendor ID (companies.id)</t>
        </is>
      </c>
      <c r="C16" s="12" t="n"/>
      <c r="E16" s="10" t="inlineStr">
        <is>
          <t>RETAINAGE</t>
        </is>
      </c>
    </row>
    <row r="17">
      <c r="B17" s="9" t="inlineStr">
        <is>
          <t>PROJECT MANAGEMENT</t>
        </is>
      </c>
      <c r="E17" s="13" t="inlineStr">
        <is>
          <t>• Rates default from here but override per line in SOV columns K and O —</t>
        </is>
      </c>
    </row>
    <row r="18">
      <c r="B18" s="11" t="inlineStr">
        <is>
          <t>Project Manager Name</t>
        </is>
      </c>
      <c r="C18" s="12" t="n"/>
      <c r="E18" s="13" t="inlineStr">
        <is>
          <t xml:space="preserve">  that is how you handle a reduced rate or release on a single SOV line.</t>
        </is>
      </c>
    </row>
    <row r="19">
      <c r="B19" s="9" t="inlineStr">
        <is>
          <t>CONTRACT</t>
        </is>
      </c>
      <c r="E19" s="13" t="inlineStr">
        <is>
          <t>• Never adjust Line 5 directly; it must always foot to the SOV.</t>
        </is>
      </c>
    </row>
    <row r="20">
      <c r="B20" s="11" t="inlineStr">
        <is>
          <t>Subcontract Number</t>
        </is>
      </c>
      <c r="C20" s="12" t="n"/>
      <c r="E20" s="10" t="inlineStr">
        <is>
          <t>ALLEATO GROUP standard billing forms — see the README sheet.</t>
        </is>
      </c>
    </row>
    <row r="21">
      <c r="B21" s="11" t="inlineStr">
        <is>
          <t>Subcontract Date</t>
        </is>
      </c>
      <c r="C21" s="14" t="n"/>
    </row>
    <row r="22">
      <c r="B22" s="11" t="inlineStr">
        <is>
          <t>Original Contract Sum</t>
        </is>
      </c>
      <c r="C22" s="15" t="n">
        <v>0</v>
      </c>
    </row>
    <row r="23">
      <c r="B23" s="11" t="inlineStr">
        <is>
          <t>Alleato Contract ID</t>
        </is>
      </c>
      <c r="C23" s="12" t="n"/>
    </row>
    <row r="24">
      <c r="B24" s="9" t="inlineStr">
        <is>
          <t>RETAINAGE — DRIVES LINES 5A / 5B</t>
        </is>
      </c>
    </row>
    <row r="25">
      <c r="B25" s="11" t="inlineStr">
        <is>
          <t>Retainage % — Completed Work (5a)</t>
        </is>
      </c>
      <c r="C25" s="16" t="n">
        <v>10</v>
      </c>
    </row>
    <row r="26">
      <c r="B26" s="11" t="inlineStr">
        <is>
          <t>Retainage % — Stored Materials (5b)</t>
        </is>
      </c>
      <c r="C26" s="16" t="n">
        <v>10</v>
      </c>
    </row>
    <row r="27">
      <c r="B27" s="9" t="inlineStr">
        <is>
          <t>CURRENT APPLICATION</t>
        </is>
      </c>
    </row>
    <row r="28">
      <c r="B28" s="11" t="inlineStr">
        <is>
          <t>Application No.</t>
        </is>
      </c>
      <c r="C28" s="17" t="n">
        <v>1</v>
      </c>
    </row>
    <row r="29">
      <c r="B29" s="11" t="inlineStr">
        <is>
          <t>Application Date</t>
        </is>
      </c>
      <c r="C29" s="14" t="n"/>
    </row>
    <row r="30">
      <c r="B30" s="11" t="inlineStr">
        <is>
          <t>Period From</t>
        </is>
      </c>
      <c r="C30" s="14" t="n"/>
    </row>
    <row r="31">
      <c r="B31" s="11" t="inlineStr">
        <is>
          <t>Period To</t>
        </is>
      </c>
      <c r="C31" s="14" t="n"/>
    </row>
  </sheetData>
  <mergeCells count="7">
    <mergeCell ref="B13:C13"/>
    <mergeCell ref="B24:C24"/>
    <mergeCell ref="B19:C19"/>
    <mergeCell ref="B5:C5"/>
    <mergeCell ref="B10:C10"/>
    <mergeCell ref="B17:C17"/>
    <mergeCell ref="B27:C27"/>
  </mergeCells>
  <pageMargins left="0.75" right="0.75" top="1" bottom="1" header="0.5" footer="0.5"/>
  <headerFooter>
    <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I50"/>
  <sheetViews>
    <sheetView showGridLines="0" workbookViewId="0">
      <selection activeCell="A1" sqref="A1"/>
    </sheetView>
  </sheetViews>
  <sheetFormatPr baseColWidth="8" defaultRowHeight="15"/>
  <cols>
    <col width="10" customWidth="1" min="1" max="1"/>
    <col width="40" customWidth="1" min="2" max="2"/>
    <col width="14" customWidth="1" min="3" max="3"/>
    <col width="14" customWidth="1" min="4" max="4"/>
    <col width="16" customWidth="1" min="5" max="5"/>
    <col width="16" customWidth="1" min="6" max="6"/>
    <col width="14" customWidth="1" min="7" max="7"/>
    <col width="22" customWidth="1" min="8" max="8"/>
    <col width="18" customWidth="1" min="9" max="9"/>
  </cols>
  <sheetData>
    <row r="1" ht="24" customHeight="1">
      <c r="A1" s="2" t="inlineStr">
        <is>
          <t>CHANGE ORDER LOG</t>
        </is>
      </c>
    </row>
    <row r="2" ht="16" customHeight="1">
      <c r="A2" s="8" t="inlineStr">
        <is>
          <t>One row per change order. Only rows with Status = Approved or Executed are picked up. "In Prior Application" = Y once the change order has appeared on a certified application.</t>
        </is>
      </c>
    </row>
    <row r="4" ht="3.5" customHeight="1">
      <c r="A4" s="1" t="n"/>
      <c r="B4" s="1" t="n"/>
      <c r="C4" s="1" t="n"/>
      <c r="D4" s="1" t="n"/>
      <c r="E4" s="1" t="n"/>
      <c r="F4" s="1" t="n"/>
      <c r="G4" s="1" t="n"/>
      <c r="H4" s="1" t="n"/>
      <c r="I4" s="1" t="n"/>
    </row>
    <row r="6" ht="32" customHeight="1">
      <c r="A6" s="18" t="inlineStr">
        <is>
          <t>CO NO.</t>
        </is>
      </c>
      <c r="B6" s="18" t="inlineStr">
        <is>
          <t>DESCRIPTION</t>
        </is>
      </c>
      <c r="C6" s="18" t="inlineStr">
        <is>
          <t>DATE
APPROVED</t>
        </is>
      </c>
      <c r="D6" s="18" t="inlineStr">
        <is>
          <t>STATUS</t>
        </is>
      </c>
      <c r="E6" s="18" t="inlineStr">
        <is>
          <t>ADDITIONS ($)</t>
        </is>
      </c>
      <c r="F6" s="18" t="inlineStr">
        <is>
          <t>DEDUCTIONS ($)</t>
        </is>
      </c>
      <c r="G6" s="18" t="inlineStr">
        <is>
          <t>SCHEDULE
IMPACT (DAYS)</t>
        </is>
      </c>
      <c r="H6" s="18" t="inlineStr">
        <is>
          <t>IN PRIOR
APPLICATION? (Y/N)</t>
        </is>
      </c>
      <c r="I6" s="18" t="inlineStr">
        <is>
          <t>NET ($)</t>
        </is>
      </c>
    </row>
    <row r="7">
      <c r="A7" s="12" t="n"/>
      <c r="B7" s="12" t="n"/>
      <c r="C7" s="14" t="n"/>
      <c r="D7" s="12" t="n"/>
      <c r="E7" s="15" t="n"/>
      <c r="F7" s="15" t="n"/>
      <c r="G7" s="17" t="n"/>
      <c r="H7" s="12" t="n"/>
      <c r="I7" s="19">
        <f>IF(COUNT(E7:F7)=0,"",N(E7)-N(F7))</f>
        <v/>
      </c>
    </row>
    <row r="8">
      <c r="A8" s="12" t="n"/>
      <c r="B8" s="12" t="n"/>
      <c r="C8" s="14" t="n"/>
      <c r="D8" s="12" t="n"/>
      <c r="E8" s="15" t="n"/>
      <c r="F8" s="15" t="n"/>
      <c r="G8" s="17" t="n"/>
      <c r="H8" s="12" t="n"/>
      <c r="I8" s="19">
        <f>IF(COUNT(E8:F8)=0,"",N(E8)-N(F8))</f>
        <v/>
      </c>
    </row>
    <row r="9">
      <c r="A9" s="12" t="n"/>
      <c r="B9" s="12" t="n"/>
      <c r="C9" s="14" t="n"/>
      <c r="D9" s="12" t="n"/>
      <c r="E9" s="15" t="n"/>
      <c r="F9" s="15" t="n"/>
      <c r="G9" s="17" t="n"/>
      <c r="H9" s="12" t="n"/>
      <c r="I9" s="19">
        <f>IF(COUNT(E9:F9)=0,"",N(E9)-N(F9))</f>
        <v/>
      </c>
    </row>
    <row r="10">
      <c r="A10" s="12" t="n"/>
      <c r="B10" s="12" t="n"/>
      <c r="C10" s="14" t="n"/>
      <c r="D10" s="12" t="n"/>
      <c r="E10" s="15" t="n"/>
      <c r="F10" s="15" t="n"/>
      <c r="G10" s="17" t="n"/>
      <c r="H10" s="12" t="n"/>
      <c r="I10" s="19">
        <f>IF(COUNT(E10:F10)=0,"",N(E10)-N(F10))</f>
        <v/>
      </c>
    </row>
    <row r="11">
      <c r="A11" s="12" t="n"/>
      <c r="B11" s="12" t="n"/>
      <c r="C11" s="14" t="n"/>
      <c r="D11" s="12" t="n"/>
      <c r="E11" s="15" t="n"/>
      <c r="F11" s="15" t="n"/>
      <c r="G11" s="17" t="n"/>
      <c r="H11" s="12" t="n"/>
      <c r="I11" s="19">
        <f>IF(COUNT(E11:F11)=0,"",N(E11)-N(F11))</f>
        <v/>
      </c>
    </row>
    <row r="12">
      <c r="A12" s="12" t="n"/>
      <c r="B12" s="12" t="n"/>
      <c r="C12" s="14" t="n"/>
      <c r="D12" s="12" t="n"/>
      <c r="E12" s="15" t="n"/>
      <c r="F12" s="15" t="n"/>
      <c r="G12" s="17" t="n"/>
      <c r="H12" s="12" t="n"/>
      <c r="I12" s="19">
        <f>IF(COUNT(E12:F12)=0,"",N(E12)-N(F12))</f>
        <v/>
      </c>
    </row>
    <row r="13">
      <c r="A13" s="12" t="n"/>
      <c r="B13" s="12" t="n"/>
      <c r="C13" s="14" t="n"/>
      <c r="D13" s="12" t="n"/>
      <c r="E13" s="15" t="n"/>
      <c r="F13" s="15" t="n"/>
      <c r="G13" s="17" t="n"/>
      <c r="H13" s="12" t="n"/>
      <c r="I13" s="19">
        <f>IF(COUNT(E13:F13)=0,"",N(E13)-N(F13))</f>
        <v/>
      </c>
    </row>
    <row r="14">
      <c r="A14" s="12" t="n"/>
      <c r="B14" s="12" t="n"/>
      <c r="C14" s="14" t="n"/>
      <c r="D14" s="12" t="n"/>
      <c r="E14" s="15" t="n"/>
      <c r="F14" s="15" t="n"/>
      <c r="G14" s="17" t="n"/>
      <c r="H14" s="12" t="n"/>
      <c r="I14" s="19">
        <f>IF(COUNT(E14:F14)=0,"",N(E14)-N(F14))</f>
        <v/>
      </c>
    </row>
    <row r="15">
      <c r="A15" s="12" t="n"/>
      <c r="B15" s="12" t="n"/>
      <c r="C15" s="14" t="n"/>
      <c r="D15" s="12" t="n"/>
      <c r="E15" s="15" t="n"/>
      <c r="F15" s="15" t="n"/>
      <c r="G15" s="17" t="n"/>
      <c r="H15" s="12" t="n"/>
      <c r="I15" s="19">
        <f>IF(COUNT(E15:F15)=0,"",N(E15)-N(F15))</f>
        <v/>
      </c>
    </row>
    <row r="16">
      <c r="A16" s="12" t="n"/>
      <c r="B16" s="12" t="n"/>
      <c r="C16" s="14" t="n"/>
      <c r="D16" s="12" t="n"/>
      <c r="E16" s="15" t="n"/>
      <c r="F16" s="15" t="n"/>
      <c r="G16" s="17" t="n"/>
      <c r="H16" s="12" t="n"/>
      <c r="I16" s="19">
        <f>IF(COUNT(E16:F16)=0,"",N(E16)-N(F16))</f>
        <v/>
      </c>
    </row>
    <row r="17">
      <c r="A17" s="12" t="n"/>
      <c r="B17" s="12" t="n"/>
      <c r="C17" s="14" t="n"/>
      <c r="D17" s="12" t="n"/>
      <c r="E17" s="15" t="n"/>
      <c r="F17" s="15" t="n"/>
      <c r="G17" s="17" t="n"/>
      <c r="H17" s="12" t="n"/>
      <c r="I17" s="19">
        <f>IF(COUNT(E17:F17)=0,"",N(E17)-N(F17))</f>
        <v/>
      </c>
    </row>
    <row r="18">
      <c r="A18" s="12" t="n"/>
      <c r="B18" s="12" t="n"/>
      <c r="C18" s="14" t="n"/>
      <c r="D18" s="12" t="n"/>
      <c r="E18" s="15" t="n"/>
      <c r="F18" s="15" t="n"/>
      <c r="G18" s="17" t="n"/>
      <c r="H18" s="12" t="n"/>
      <c r="I18" s="19">
        <f>IF(COUNT(E18:F18)=0,"",N(E18)-N(F18))</f>
        <v/>
      </c>
    </row>
    <row r="19">
      <c r="A19" s="12" t="n"/>
      <c r="B19" s="12" t="n"/>
      <c r="C19" s="14" t="n"/>
      <c r="D19" s="12" t="n"/>
      <c r="E19" s="15" t="n"/>
      <c r="F19" s="15" t="n"/>
      <c r="G19" s="17" t="n"/>
      <c r="H19" s="12" t="n"/>
      <c r="I19" s="19">
        <f>IF(COUNT(E19:F19)=0,"",N(E19)-N(F19))</f>
        <v/>
      </c>
    </row>
    <row r="20">
      <c r="A20" s="12" t="n"/>
      <c r="B20" s="12" t="n"/>
      <c r="C20" s="14" t="n"/>
      <c r="D20" s="12" t="n"/>
      <c r="E20" s="15" t="n"/>
      <c r="F20" s="15" t="n"/>
      <c r="G20" s="17" t="n"/>
      <c r="H20" s="12" t="n"/>
      <c r="I20" s="19">
        <f>IF(COUNT(E20:F20)=0,"",N(E20)-N(F20))</f>
        <v/>
      </c>
    </row>
    <row r="21">
      <c r="A21" s="12" t="n"/>
      <c r="B21" s="12" t="n"/>
      <c r="C21" s="14" t="n"/>
      <c r="D21" s="12" t="n"/>
      <c r="E21" s="15" t="n"/>
      <c r="F21" s="15" t="n"/>
      <c r="G21" s="17" t="n"/>
      <c r="H21" s="12" t="n"/>
      <c r="I21" s="19">
        <f>IF(COUNT(E21:F21)=0,"",N(E21)-N(F21))</f>
        <v/>
      </c>
    </row>
    <row r="22">
      <c r="A22" s="12" t="n"/>
      <c r="B22" s="12" t="n"/>
      <c r="C22" s="14" t="n"/>
      <c r="D22" s="12" t="n"/>
      <c r="E22" s="15" t="n"/>
      <c r="F22" s="15" t="n"/>
      <c r="G22" s="17" t="n"/>
      <c r="H22" s="12" t="n"/>
      <c r="I22" s="19">
        <f>IF(COUNT(E22:F22)=0,"",N(E22)-N(F22))</f>
        <v/>
      </c>
    </row>
    <row r="23">
      <c r="A23" s="12" t="n"/>
      <c r="B23" s="12" t="n"/>
      <c r="C23" s="14" t="n"/>
      <c r="D23" s="12" t="n"/>
      <c r="E23" s="15" t="n"/>
      <c r="F23" s="15" t="n"/>
      <c r="G23" s="17" t="n"/>
      <c r="H23" s="12" t="n"/>
      <c r="I23" s="19">
        <f>IF(COUNT(E23:F23)=0,"",N(E23)-N(F23))</f>
        <v/>
      </c>
    </row>
    <row r="24">
      <c r="A24" s="12" t="n"/>
      <c r="B24" s="12" t="n"/>
      <c r="C24" s="14" t="n"/>
      <c r="D24" s="12" t="n"/>
      <c r="E24" s="15" t="n"/>
      <c r="F24" s="15" t="n"/>
      <c r="G24" s="17" t="n"/>
      <c r="H24" s="12" t="n"/>
      <c r="I24" s="19">
        <f>IF(COUNT(E24:F24)=0,"",N(E24)-N(F24))</f>
        <v/>
      </c>
    </row>
    <row r="25">
      <c r="A25" s="12" t="n"/>
      <c r="B25" s="12" t="n"/>
      <c r="C25" s="14" t="n"/>
      <c r="D25" s="12" t="n"/>
      <c r="E25" s="15" t="n"/>
      <c r="F25" s="15" t="n"/>
      <c r="G25" s="17" t="n"/>
      <c r="H25" s="12" t="n"/>
      <c r="I25" s="19">
        <f>IF(COUNT(E25:F25)=0,"",N(E25)-N(F25))</f>
        <v/>
      </c>
    </row>
    <row r="26">
      <c r="A26" s="12" t="n"/>
      <c r="B26" s="12" t="n"/>
      <c r="C26" s="14" t="n"/>
      <c r="D26" s="12" t="n"/>
      <c r="E26" s="15" t="n"/>
      <c r="F26" s="15" t="n"/>
      <c r="G26" s="17" t="n"/>
      <c r="H26" s="12" t="n"/>
      <c r="I26" s="19">
        <f>IF(COUNT(E26:F26)=0,"",N(E26)-N(F26))</f>
        <v/>
      </c>
    </row>
    <row r="27">
      <c r="A27" s="12" t="n"/>
      <c r="B27" s="12" t="n"/>
      <c r="C27" s="14" t="n"/>
      <c r="D27" s="12" t="n"/>
      <c r="E27" s="15" t="n"/>
      <c r="F27" s="15" t="n"/>
      <c r="G27" s="17" t="n"/>
      <c r="H27" s="12" t="n"/>
      <c r="I27" s="19">
        <f>IF(COUNT(E27:F27)=0,"",N(E27)-N(F27))</f>
        <v/>
      </c>
    </row>
    <row r="28">
      <c r="A28" s="12" t="n"/>
      <c r="B28" s="12" t="n"/>
      <c r="C28" s="14" t="n"/>
      <c r="D28" s="12" t="n"/>
      <c r="E28" s="15" t="n"/>
      <c r="F28" s="15" t="n"/>
      <c r="G28" s="17" t="n"/>
      <c r="H28" s="12" t="n"/>
      <c r="I28" s="19">
        <f>IF(COUNT(E28:F28)=0,"",N(E28)-N(F28))</f>
        <v/>
      </c>
    </row>
    <row r="29">
      <c r="A29" s="12" t="n"/>
      <c r="B29" s="12" t="n"/>
      <c r="C29" s="14" t="n"/>
      <c r="D29" s="12" t="n"/>
      <c r="E29" s="15" t="n"/>
      <c r="F29" s="15" t="n"/>
      <c r="G29" s="17" t="n"/>
      <c r="H29" s="12" t="n"/>
      <c r="I29" s="19">
        <f>IF(COUNT(E29:F29)=0,"",N(E29)-N(F29))</f>
        <v/>
      </c>
    </row>
    <row r="30">
      <c r="A30" s="12" t="n"/>
      <c r="B30" s="12" t="n"/>
      <c r="C30" s="14" t="n"/>
      <c r="D30" s="12" t="n"/>
      <c r="E30" s="15" t="n"/>
      <c r="F30" s="15" t="n"/>
      <c r="G30" s="17" t="n"/>
      <c r="H30" s="12" t="n"/>
      <c r="I30" s="19">
        <f>IF(COUNT(E30:F30)=0,"",N(E30)-N(F30))</f>
        <v/>
      </c>
    </row>
    <row r="31">
      <c r="A31" s="12" t="n"/>
      <c r="B31" s="12" t="n"/>
      <c r="C31" s="14" t="n"/>
      <c r="D31" s="12" t="n"/>
      <c r="E31" s="15" t="n"/>
      <c r="F31" s="15" t="n"/>
      <c r="G31" s="17" t="n"/>
      <c r="H31" s="12" t="n"/>
      <c r="I31" s="19">
        <f>IF(COUNT(E31:F31)=0,"",N(E31)-N(F31))</f>
        <v/>
      </c>
    </row>
    <row r="32">
      <c r="A32" s="12" t="n"/>
      <c r="B32" s="12" t="n"/>
      <c r="C32" s="14" t="n"/>
      <c r="D32" s="12" t="n"/>
      <c r="E32" s="15" t="n"/>
      <c r="F32" s="15" t="n"/>
      <c r="G32" s="17" t="n"/>
      <c r="H32" s="12" t="n"/>
      <c r="I32" s="19">
        <f>IF(COUNT(E32:F32)=0,"",N(E32)-N(F32))</f>
        <v/>
      </c>
    </row>
    <row r="33">
      <c r="A33" s="12" t="n"/>
      <c r="B33" s="12" t="n"/>
      <c r="C33" s="14" t="n"/>
      <c r="D33" s="12" t="n"/>
      <c r="E33" s="15" t="n"/>
      <c r="F33" s="15" t="n"/>
      <c r="G33" s="17" t="n"/>
      <c r="H33" s="12" t="n"/>
      <c r="I33" s="19">
        <f>IF(COUNT(E33:F33)=0,"",N(E33)-N(F33))</f>
        <v/>
      </c>
    </row>
    <row r="34">
      <c r="A34" s="12" t="n"/>
      <c r="B34" s="12" t="n"/>
      <c r="C34" s="14" t="n"/>
      <c r="D34" s="12" t="n"/>
      <c r="E34" s="15" t="n"/>
      <c r="F34" s="15" t="n"/>
      <c r="G34" s="17" t="n"/>
      <c r="H34" s="12" t="n"/>
      <c r="I34" s="19">
        <f>IF(COUNT(E34:F34)=0,"",N(E34)-N(F34))</f>
        <v/>
      </c>
    </row>
    <row r="35">
      <c r="A35" s="12" t="n"/>
      <c r="B35" s="12" t="n"/>
      <c r="C35" s="14" t="n"/>
      <c r="D35" s="12" t="n"/>
      <c r="E35" s="15" t="n"/>
      <c r="F35" s="15" t="n"/>
      <c r="G35" s="17" t="n"/>
      <c r="H35" s="12" t="n"/>
      <c r="I35" s="19">
        <f>IF(COUNT(E35:F35)=0,"",N(E35)-N(F35))</f>
        <v/>
      </c>
    </row>
    <row r="36">
      <c r="A36" s="12" t="n"/>
      <c r="B36" s="12" t="n"/>
      <c r="C36" s="14" t="n"/>
      <c r="D36" s="12" t="n"/>
      <c r="E36" s="15" t="n"/>
      <c r="F36" s="15" t="n"/>
      <c r="G36" s="17" t="n"/>
      <c r="H36" s="12" t="n"/>
      <c r="I36" s="19">
        <f>IF(COUNT(E36:F36)=0,"",N(E36)-N(F36))</f>
        <v/>
      </c>
    </row>
    <row r="37">
      <c r="A37" s="12" t="n"/>
      <c r="B37" s="12" t="n"/>
      <c r="C37" s="14" t="n"/>
      <c r="D37" s="12" t="n"/>
      <c r="E37" s="15" t="n"/>
      <c r="F37" s="15" t="n"/>
      <c r="G37" s="17" t="n"/>
      <c r="H37" s="12" t="n"/>
      <c r="I37" s="19">
        <f>IF(COUNT(E37:F37)=0,"",N(E37)-N(F37))</f>
        <v/>
      </c>
    </row>
    <row r="38">
      <c r="A38" s="12" t="n"/>
      <c r="B38" s="12" t="n"/>
      <c r="C38" s="14" t="n"/>
      <c r="D38" s="12" t="n"/>
      <c r="E38" s="15" t="n"/>
      <c r="F38" s="15" t="n"/>
      <c r="G38" s="17" t="n"/>
      <c r="H38" s="12" t="n"/>
      <c r="I38" s="19">
        <f>IF(COUNT(E38:F38)=0,"",N(E38)-N(F38))</f>
        <v/>
      </c>
    </row>
    <row r="39">
      <c r="A39" s="12" t="n"/>
      <c r="B39" s="12" t="n"/>
      <c r="C39" s="14" t="n"/>
      <c r="D39" s="12" t="n"/>
      <c r="E39" s="15" t="n"/>
      <c r="F39" s="15" t="n"/>
      <c r="G39" s="17" t="n"/>
      <c r="H39" s="12" t="n"/>
      <c r="I39" s="19">
        <f>IF(COUNT(E39:F39)=0,"",N(E39)-N(F39))</f>
        <v/>
      </c>
    </row>
    <row r="40">
      <c r="A40" s="12" t="n"/>
      <c r="B40" s="12" t="n"/>
      <c r="C40" s="14" t="n"/>
      <c r="D40" s="12" t="n"/>
      <c r="E40" s="15" t="n"/>
      <c r="F40" s="15" t="n"/>
      <c r="G40" s="17" t="n"/>
      <c r="H40" s="12" t="n"/>
      <c r="I40" s="19">
        <f>IF(COUNT(E40:F40)=0,"",N(E40)-N(F40))</f>
        <v/>
      </c>
    </row>
    <row r="41">
      <c r="A41" s="12" t="n"/>
      <c r="B41" s="12" t="n"/>
      <c r="C41" s="14" t="n"/>
      <c r="D41" s="12" t="n"/>
      <c r="E41" s="15" t="n"/>
      <c r="F41" s="15" t="n"/>
      <c r="G41" s="17" t="n"/>
      <c r="H41" s="12" t="n"/>
      <c r="I41" s="19">
        <f>IF(COUNT(E41:F41)=0,"",N(E41)-N(F41))</f>
        <v/>
      </c>
    </row>
    <row r="42">
      <c r="A42" s="12" t="n"/>
      <c r="B42" s="12" t="n"/>
      <c r="C42" s="14" t="n"/>
      <c r="D42" s="12" t="n"/>
      <c r="E42" s="15" t="n"/>
      <c r="F42" s="15" t="n"/>
      <c r="G42" s="17" t="n"/>
      <c r="H42" s="12" t="n"/>
      <c r="I42" s="19">
        <f>IF(COUNT(E42:F42)=0,"",N(E42)-N(F42))</f>
        <v/>
      </c>
    </row>
    <row r="43">
      <c r="A43" s="12" t="n"/>
      <c r="B43" s="12" t="n"/>
      <c r="C43" s="14" t="n"/>
      <c r="D43" s="12" t="n"/>
      <c r="E43" s="15" t="n"/>
      <c r="F43" s="15" t="n"/>
      <c r="G43" s="17" t="n"/>
      <c r="H43" s="12" t="n"/>
      <c r="I43" s="19">
        <f>IF(COUNT(E43:F43)=0,"",N(E43)-N(F43))</f>
        <v/>
      </c>
    </row>
    <row r="44">
      <c r="A44" s="12" t="n"/>
      <c r="B44" s="12" t="n"/>
      <c r="C44" s="14" t="n"/>
      <c r="D44" s="12" t="n"/>
      <c r="E44" s="15" t="n"/>
      <c r="F44" s="15" t="n"/>
      <c r="G44" s="17" t="n"/>
      <c r="H44" s="12" t="n"/>
      <c r="I44" s="19">
        <f>IF(COUNT(E44:F44)=0,"",N(E44)-N(F44))</f>
        <v/>
      </c>
    </row>
    <row r="45">
      <c r="A45" s="12" t="n"/>
      <c r="B45" s="12" t="n"/>
      <c r="C45" s="14" t="n"/>
      <c r="D45" s="12" t="n"/>
      <c r="E45" s="15" t="n"/>
      <c r="F45" s="15" t="n"/>
      <c r="G45" s="17" t="n"/>
      <c r="H45" s="12" t="n"/>
      <c r="I45" s="19">
        <f>IF(COUNT(E45:F45)=0,"",N(E45)-N(F45))</f>
        <v/>
      </c>
    </row>
    <row r="46">
      <c r="A46" s="12" t="n"/>
      <c r="B46" s="12" t="n"/>
      <c r="C46" s="14" t="n"/>
      <c r="D46" s="12" t="n"/>
      <c r="E46" s="15" t="n"/>
      <c r="F46" s="15" t="n"/>
      <c r="G46" s="17" t="n"/>
      <c r="H46" s="12" t="n"/>
      <c r="I46" s="19">
        <f>IF(COUNT(E46:F46)=0,"",N(E46)-N(F46))</f>
        <v/>
      </c>
    </row>
    <row r="47">
      <c r="A47" s="20" t="n"/>
      <c r="B47" s="21" t="inlineStr">
        <is>
          <t>TOTALS — APPROVED / EXECUTED ONLY</t>
        </is>
      </c>
      <c r="C47" s="20" t="n"/>
      <c r="D47" s="20" t="n"/>
      <c r="E47" s="22">
        <f>SUMPRODUCT((($D$7:$D$46="Approved")+($D$7:$D$46="Executed"))*N($E$7:$E$46))</f>
        <v/>
      </c>
      <c r="F47" s="22">
        <f>SUMPRODUCT((($D$7:$D$46="Approved")+($D$7:$D$46="Executed"))*N($F$7:$F$46))</f>
        <v/>
      </c>
      <c r="G47" s="20" t="n"/>
      <c r="H47" s="20" t="n"/>
      <c r="I47" s="22">
        <f>SUMPRODUCT((($D$7:$D$46="Approved")+($D$7:$D$46="Executed"))*N($I$7:$I$46))</f>
        <v/>
      </c>
    </row>
    <row r="49">
      <c r="B49" s="23" t="inlineStr">
        <is>
          <t>Approved in previous applications  (In Prior = Y)</t>
        </is>
      </c>
      <c r="E49" s="19">
        <f>SUMIFS($E$7:$E$46,$H$7:$H$46,"Y",$D$7:$D$46,"Approved")+SUMIFS($E$7:$E$46,$H$7:$H$46,"Y",$D$7:$D$46,"Executed")</f>
        <v/>
      </c>
      <c r="F49" s="19">
        <f>SUMIFS($F$7:$F$46,$H$7:$H$46,"Y",$D$7:$D$46,"Approved")+SUMIFS($F$7:$F$46,$H$7:$H$46,"Y",$D$7:$D$46,"Executed")</f>
        <v/>
      </c>
    </row>
    <row r="50">
      <c r="B50" s="23" t="inlineStr">
        <is>
          <t>Approved this application  (In Prior = N)</t>
        </is>
      </c>
      <c r="E50" s="19">
        <f>SUMIFS($E$7:$E$46,$H$7:$H$46,"N",$D$7:$D$46,"Approved")+SUMIFS($E$7:$E$46,$H$7:$H$46,"N",$D$7:$D$46,"Executed")</f>
        <v/>
      </c>
      <c r="F50" s="19">
        <f>SUMIFS($F$7:$F$46,$H$7:$H$46,"N",$D$7:$D$46,"Approved")+SUMIFS($F$7:$F$46,$H$7:$H$46,"N",$D$7:$D$46,"Executed")</f>
        <v/>
      </c>
    </row>
  </sheetData>
  <dataValidations count="2">
    <dataValidation sqref="D7 D8 D9 D10 D11 D12 D13 D14 D15 D16 D17 D18 D19 D20 D21 D22 D23 D24 D25 D26 D27 D28 D29 D30 D31 D32 D33 D34 D35 D36 D37 D38 D39 D40 D41 D42 D43 D44 D45 D46" showDropDown="0" showInputMessage="0" showErrorMessage="0" allowBlank="1" type="list">
      <formula1>"Approved,Executed,Pending,Draft,Void"</formula1>
    </dataValidation>
    <dataValidation sqref="H7 H8 H9 H10 H11 H12 H13 H14 H15 H16 H17 H18 H19 H20 H21 H22 H23 H24 H25 H26 H27 H28 H29 H30 H31 H32 H33 H34 H35 H36 H37 H38 H39 H40 H41 H42 H43 H44 H45 H46" showDropDown="0" showInputMessage="0" showErrorMessage="0" allowBlank="1" type="list">
      <formula1>"Y,N"</formula1>
    </dataValidation>
  </dataValidations>
  <pageMargins left="0.75" right="0.75" top="1" bottom="1" header="0.5" footer="0.5"/>
  <pageSetup orientation="landscape" fitToWidth="1"/>
  <headerFooter>
    <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S69"/>
  <sheetViews>
    <sheetView showGridLines="0" workbookViewId="0">
      <pane xSplit="2" ySplit="11" topLeftCell="C12" activePane="bottomRight" state="frozen"/>
      <selection pane="topRight"/>
      <selection pane="bottomLeft"/>
      <selection pane="bottomRight" activeCell="A1" sqref="A1"/>
    </sheetView>
  </sheetViews>
  <sheetFormatPr baseColWidth="8" defaultRowHeight="15"/>
  <cols>
    <col width="7" customWidth="1" min="1" max="1"/>
    <col width="38" customWidth="1" min="2" max="2"/>
    <col width="14" customWidth="1" min="3" max="3"/>
    <col width="14" customWidth="1" min="4" max="4"/>
    <col width="15" customWidth="1" min="5" max="5"/>
    <col width="15" customWidth="1" min="6" max="6"/>
    <col width="14" customWidth="1" min="7" max="7"/>
    <col width="16" customWidth="1" min="8" max="8"/>
    <col width="7" customWidth="1" min="9" max="9"/>
    <col width="14" customWidth="1" min="10" max="10"/>
    <col width="8" customWidth="1" min="11" max="11"/>
    <col width="13" customWidth="1" min="12" max="12"/>
    <col width="13" customWidth="1" min="13" max="13"/>
    <col width="13" customWidth="1" min="14" max="14"/>
    <col width="8" customWidth="1" min="15" max="15"/>
    <col width="13" customWidth="1" min="16" max="16"/>
    <col width="13" customWidth="1" min="17" max="17"/>
    <col width="13" customWidth="1" min="18" max="18"/>
    <col width="15" customWidth="1" min="19" max="19"/>
  </cols>
  <sheetData>
    <row r="1" ht="24" customHeight="1">
      <c r="A1" s="2" t="inlineStr">
        <is>
          <t>CONTINUATION SHEET — SCHEDULE OF VALUES</t>
        </is>
      </c>
    </row>
    <row r="2" ht="16" customHeight="1">
      <c r="A2" s="8" t="inlineStr">
        <is>
          <t>Working schedule of values. Feeds the Continuation Sheet and the Payment Application.</t>
        </is>
      </c>
    </row>
    <row r="3" ht="3.5" customHeight="1">
      <c r="A3" s="1" t="n"/>
      <c r="B3" s="1" t="n"/>
      <c r="C3" s="1" t="n"/>
      <c r="D3" s="1" t="n"/>
      <c r="E3" s="1" t="n"/>
      <c r="F3" s="1" t="n"/>
      <c r="G3" s="1" t="n"/>
      <c r="H3" s="1" t="n"/>
      <c r="I3" s="1" t="n"/>
      <c r="J3" s="1" t="n"/>
      <c r="K3" s="1" t="n"/>
      <c r="L3" s="1" t="n"/>
      <c r="M3" s="1" t="n"/>
      <c r="N3" s="1" t="n"/>
      <c r="O3" s="1" t="n"/>
      <c r="P3" s="1" t="n"/>
      <c r="Q3" s="1" t="n"/>
      <c r="R3" s="1" t="n"/>
      <c r="S3" s="1" t="n"/>
    </row>
    <row r="4">
      <c r="B4" s="23" t="inlineStr">
        <is>
          <t>PROJECT:</t>
        </is>
      </c>
      <c r="C4" s="24">
        <f>IF(PrjName="","",PrjName)</f>
        <v/>
      </c>
      <c r="G4" s="23" t="inlineStr">
        <is>
          <t>APPLICATION NO.:</t>
        </is>
      </c>
      <c r="H4" s="25">
        <f>AppNo</f>
        <v/>
      </c>
    </row>
    <row r="5">
      <c r="B5" s="23" t="inlineStr">
        <is>
          <t>SUBCONTRACTOR:</t>
        </is>
      </c>
      <c r="C5" s="24">
        <f>IF(PayeeName="","",PayeeName)</f>
        <v/>
      </c>
      <c r="G5" s="23" t="inlineStr">
        <is>
          <t>PERIOD TO:</t>
        </is>
      </c>
      <c r="H5" s="26">
        <f>IF(PeriodTo="","",PeriodTo)</f>
        <v/>
      </c>
    </row>
    <row r="6">
      <c r="B6" s="23" t="inlineStr">
        <is>
          <t>SUBCONTRACT NO.:</t>
        </is>
      </c>
      <c r="C6" s="24">
        <f>IF(ContractNo="","",ContractNo)</f>
        <v/>
      </c>
      <c r="G6" s="23" t="inlineStr">
        <is>
          <t>APP. DATE:</t>
        </is>
      </c>
      <c r="H6" s="26">
        <f>IF(AppDate="","",AppDate)</f>
        <v/>
      </c>
    </row>
    <row r="9" ht="13" customHeight="1">
      <c r="A9" s="27" t="inlineStr">
        <is>
          <t>A</t>
        </is>
      </c>
      <c r="B9" s="27" t="inlineStr">
        <is>
          <t>B</t>
        </is>
      </c>
      <c r="C9" s="27" t="inlineStr"/>
      <c r="D9" s="27" t="inlineStr">
        <is>
          <t>C</t>
        </is>
      </c>
      <c r="E9" s="27" t="inlineStr">
        <is>
          <t>D</t>
        </is>
      </c>
      <c r="F9" s="27" t="inlineStr">
        <is>
          <t>E</t>
        </is>
      </c>
      <c r="G9" s="27" t="inlineStr">
        <is>
          <t>F</t>
        </is>
      </c>
      <c r="H9" s="27" t="inlineStr">
        <is>
          <t>G</t>
        </is>
      </c>
      <c r="I9" s="27" t="inlineStr">
        <is>
          <t>G/C</t>
        </is>
      </c>
      <c r="J9" s="27" t="inlineStr">
        <is>
          <t>H</t>
        </is>
      </c>
      <c r="K9" s="27" t="inlineStr">
        <is>
          <t>I</t>
        </is>
      </c>
      <c r="L9" s="27" t="inlineStr">
        <is>
          <t>I</t>
        </is>
      </c>
      <c r="M9" s="27" t="inlineStr">
        <is>
          <t>I</t>
        </is>
      </c>
      <c r="N9" s="27" t="inlineStr">
        <is>
          <t>I</t>
        </is>
      </c>
      <c r="O9" s="27" t="inlineStr">
        <is>
          <t>I</t>
        </is>
      </c>
      <c r="P9" s="27" t="inlineStr">
        <is>
          <t>I</t>
        </is>
      </c>
      <c r="Q9" s="27" t="inlineStr">
        <is>
          <t>I</t>
        </is>
      </c>
      <c r="R9" s="27" t="inlineStr">
        <is>
          <t>I</t>
        </is>
      </c>
      <c r="S9" s="27" t="inlineStr">
        <is>
          <t>I</t>
        </is>
      </c>
    </row>
    <row r="10" ht="46" customHeight="1">
      <c r="A10" s="18" t="inlineStr">
        <is>
          <t>ITEM
NO.</t>
        </is>
      </c>
      <c r="B10" s="18" t="inlineStr">
        <is>
          <t>DESCRIPTION OF WORK</t>
        </is>
      </c>
      <c r="C10" s="18" t="inlineStr">
        <is>
          <t>BUDGET CODE</t>
        </is>
      </c>
      <c r="D10" s="18" t="inlineStr">
        <is>
          <t>SCHEDULED
VALUE</t>
        </is>
      </c>
      <c r="E10" s="18" t="inlineStr">
        <is>
          <t>WORK COMPLETED
FROM PREVIOUS
APPLICATION</t>
        </is>
      </c>
      <c r="F10" s="18" t="inlineStr">
        <is>
          <t>WORK COMPLETED
THIS PERIOD</t>
        </is>
      </c>
      <c r="G10" s="18" t="inlineStr">
        <is>
          <t>MATERIALS
PRESENTLY
STORED</t>
        </is>
      </c>
      <c r="H10" s="18" t="inlineStr">
        <is>
          <t>TOTAL COMPLETED
AND STORED
TO DATE</t>
        </is>
      </c>
      <c r="I10" s="18" t="inlineStr">
        <is>
          <t>%</t>
        </is>
      </c>
      <c r="J10" s="18" t="inlineStr">
        <is>
          <t>BALANCE TO
FINISH</t>
        </is>
      </c>
      <c r="K10" s="18" t="inlineStr">
        <is>
          <t>RET %
WORK</t>
        </is>
      </c>
      <c r="L10" s="18" t="inlineStr">
        <is>
          <t>RET $ WORK
PRIOR</t>
        </is>
      </c>
      <c r="M10" s="18" t="inlineStr">
        <is>
          <t>RET $ WORK
THIS PERIOD</t>
        </is>
      </c>
      <c r="N10" s="18" t="inlineStr">
        <is>
          <t>RET $ WORK
RELEASED</t>
        </is>
      </c>
      <c r="O10" s="18" t="inlineStr">
        <is>
          <t>RET %
MATL</t>
        </is>
      </c>
      <c r="P10" s="18" t="inlineStr">
        <is>
          <t>RET $ MATL
PRIOR</t>
        </is>
      </c>
      <c r="Q10" s="18" t="inlineStr">
        <is>
          <t>RET $ MATL
THIS PERIOD</t>
        </is>
      </c>
      <c r="R10" s="18" t="inlineStr">
        <is>
          <t>RET $ MATL
RELEASED</t>
        </is>
      </c>
      <c r="S10" s="18" t="inlineStr">
        <is>
          <t>TOTAL RETAINAGE
HELD</t>
        </is>
      </c>
    </row>
    <row r="11">
      <c r="A11" s="28" t="inlineStr">
        <is>
          <t>BASE CONTRACT</t>
        </is>
      </c>
      <c r="B11" s="29" t="n"/>
      <c r="C11" s="30" t="n"/>
      <c r="D11" s="31" t="n"/>
      <c r="E11" s="31" t="n"/>
      <c r="F11" s="31" t="n"/>
      <c r="G11" s="31" t="n"/>
      <c r="H11" s="31" t="n"/>
      <c r="I11" s="31" t="n"/>
      <c r="J11" s="31" t="n"/>
      <c r="K11" s="31" t="n"/>
      <c r="L11" s="31" t="n"/>
      <c r="M11" s="31" t="n"/>
      <c r="N11" s="31" t="n"/>
      <c r="O11" s="31" t="n"/>
      <c r="P11" s="31" t="n"/>
      <c r="Q11" s="31" t="n"/>
      <c r="R11" s="31" t="n"/>
      <c r="S11" s="31" t="n"/>
    </row>
    <row r="12">
      <c r="A12" s="12" t="n"/>
      <c r="B12" s="12" t="n"/>
      <c r="C12" s="12" t="n"/>
      <c r="D12" s="15" t="n"/>
      <c r="E12" s="15" t="n"/>
      <c r="F12" s="15" t="n"/>
      <c r="G12" s="15" t="n"/>
      <c r="H12" s="19">
        <f>IF(COUNTA(A12:C12)+COUNT(D12:G12)=0,"",N(E12)+N(F12)+N(G12))</f>
        <v/>
      </c>
      <c r="I12" s="32">
        <f>IF(N(D12)=0,"",H12/D12*100)</f>
        <v/>
      </c>
      <c r="J12" s="19">
        <f>IF(COUNTA(A12:C12)+COUNT(D12:G12)=0,"",N(D12)-N(H12))</f>
        <v/>
      </c>
      <c r="K12" s="16">
        <f>IF(COUNTA(A12:C12)+COUNT(D12:G12)=0,"",RetPctWork)</f>
        <v/>
      </c>
      <c r="L12" s="15" t="n"/>
      <c r="M12" s="19">
        <f>IF(COUNTA(A12:C12)+COUNT(D12:G12)=0,"",N(F12)*N(K12)/100)</f>
        <v/>
      </c>
      <c r="N12" s="15" t="n"/>
      <c r="O12" s="16">
        <f>IF(COUNTA(A12:C12)+COUNT(D12:G12)=0,"",RetPctMatl)</f>
        <v/>
      </c>
      <c r="P12" s="15" t="n"/>
      <c r="Q12" s="19">
        <f>IF(COUNTA(A12:C12)+COUNT(D12:G12)=0,"",N(G12)*N(O12)/100)</f>
        <v/>
      </c>
      <c r="R12" s="15" t="n"/>
      <c r="S12" s="19">
        <f>IF(COUNTA(A12:C12)+COUNT(D12:G12)=0,"",N(L12)+N(M12)-N(N12)+N(P12)+N(Q12)-N(R12))</f>
        <v/>
      </c>
    </row>
    <row r="13">
      <c r="A13" s="12" t="n"/>
      <c r="B13" s="12" t="n"/>
      <c r="C13" s="12" t="n"/>
      <c r="D13" s="15" t="n"/>
      <c r="E13" s="15" t="n"/>
      <c r="F13" s="15" t="n"/>
      <c r="G13" s="15" t="n"/>
      <c r="H13" s="19">
        <f>IF(COUNTA(A13:C13)+COUNT(D13:G13)=0,"",N(E13)+N(F13)+N(G13))</f>
        <v/>
      </c>
      <c r="I13" s="32">
        <f>IF(N(D13)=0,"",H13/D13*100)</f>
        <v/>
      </c>
      <c r="J13" s="19">
        <f>IF(COUNTA(A13:C13)+COUNT(D13:G13)=0,"",N(D13)-N(H13))</f>
        <v/>
      </c>
      <c r="K13" s="16">
        <f>IF(COUNTA(A13:C13)+COUNT(D13:G13)=0,"",RetPctWork)</f>
        <v/>
      </c>
      <c r="L13" s="15" t="n"/>
      <c r="M13" s="19">
        <f>IF(COUNTA(A13:C13)+COUNT(D13:G13)=0,"",N(F13)*N(K13)/100)</f>
        <v/>
      </c>
      <c r="N13" s="15" t="n"/>
      <c r="O13" s="16">
        <f>IF(COUNTA(A13:C13)+COUNT(D13:G13)=0,"",RetPctMatl)</f>
        <v/>
      </c>
      <c r="P13" s="15" t="n"/>
      <c r="Q13" s="19">
        <f>IF(COUNTA(A13:C13)+COUNT(D13:G13)=0,"",N(G13)*N(O13)/100)</f>
        <v/>
      </c>
      <c r="R13" s="15" t="n"/>
      <c r="S13" s="19">
        <f>IF(COUNTA(A13:C13)+COUNT(D13:G13)=0,"",N(L13)+N(M13)-N(N13)+N(P13)+N(Q13)-N(R13))</f>
        <v/>
      </c>
    </row>
    <row r="14">
      <c r="A14" s="12" t="n"/>
      <c r="B14" s="12" t="n"/>
      <c r="C14" s="12" t="n"/>
      <c r="D14" s="15" t="n"/>
      <c r="E14" s="15" t="n"/>
      <c r="F14" s="15" t="n"/>
      <c r="G14" s="15" t="n"/>
      <c r="H14" s="19">
        <f>IF(COUNTA(A14:C14)+COUNT(D14:G14)=0,"",N(E14)+N(F14)+N(G14))</f>
        <v/>
      </c>
      <c r="I14" s="32">
        <f>IF(N(D14)=0,"",H14/D14*100)</f>
        <v/>
      </c>
      <c r="J14" s="19">
        <f>IF(COUNTA(A14:C14)+COUNT(D14:G14)=0,"",N(D14)-N(H14))</f>
        <v/>
      </c>
      <c r="K14" s="16">
        <f>IF(COUNTA(A14:C14)+COUNT(D14:G14)=0,"",RetPctWork)</f>
        <v/>
      </c>
      <c r="L14" s="15" t="n"/>
      <c r="M14" s="19">
        <f>IF(COUNTA(A14:C14)+COUNT(D14:G14)=0,"",N(F14)*N(K14)/100)</f>
        <v/>
      </c>
      <c r="N14" s="15" t="n"/>
      <c r="O14" s="16">
        <f>IF(COUNTA(A14:C14)+COUNT(D14:G14)=0,"",RetPctMatl)</f>
        <v/>
      </c>
      <c r="P14" s="15" t="n"/>
      <c r="Q14" s="19">
        <f>IF(COUNTA(A14:C14)+COUNT(D14:G14)=0,"",N(G14)*N(O14)/100)</f>
        <v/>
      </c>
      <c r="R14" s="15" t="n"/>
      <c r="S14" s="19">
        <f>IF(COUNTA(A14:C14)+COUNT(D14:G14)=0,"",N(L14)+N(M14)-N(N14)+N(P14)+N(Q14)-N(R14))</f>
        <v/>
      </c>
    </row>
    <row r="15">
      <c r="A15" s="12" t="n"/>
      <c r="B15" s="12" t="n"/>
      <c r="C15" s="12" t="n"/>
      <c r="D15" s="15" t="n"/>
      <c r="E15" s="15" t="n"/>
      <c r="F15" s="15" t="n"/>
      <c r="G15" s="15" t="n"/>
      <c r="H15" s="19">
        <f>IF(COUNTA(A15:C15)+COUNT(D15:G15)=0,"",N(E15)+N(F15)+N(G15))</f>
        <v/>
      </c>
      <c r="I15" s="32">
        <f>IF(N(D15)=0,"",H15/D15*100)</f>
        <v/>
      </c>
      <c r="J15" s="19">
        <f>IF(COUNTA(A15:C15)+COUNT(D15:G15)=0,"",N(D15)-N(H15))</f>
        <v/>
      </c>
      <c r="K15" s="16">
        <f>IF(COUNTA(A15:C15)+COUNT(D15:G15)=0,"",RetPctWork)</f>
        <v/>
      </c>
      <c r="L15" s="15" t="n"/>
      <c r="M15" s="19">
        <f>IF(COUNTA(A15:C15)+COUNT(D15:G15)=0,"",N(F15)*N(K15)/100)</f>
        <v/>
      </c>
      <c r="N15" s="15" t="n"/>
      <c r="O15" s="16">
        <f>IF(COUNTA(A15:C15)+COUNT(D15:G15)=0,"",RetPctMatl)</f>
        <v/>
      </c>
      <c r="P15" s="15" t="n"/>
      <c r="Q15" s="19">
        <f>IF(COUNTA(A15:C15)+COUNT(D15:G15)=0,"",N(G15)*N(O15)/100)</f>
        <v/>
      </c>
      <c r="R15" s="15" t="n"/>
      <c r="S15" s="19">
        <f>IF(COUNTA(A15:C15)+COUNT(D15:G15)=0,"",N(L15)+N(M15)-N(N15)+N(P15)+N(Q15)-N(R15))</f>
        <v/>
      </c>
    </row>
    <row r="16">
      <c r="A16" s="12" t="n"/>
      <c r="B16" s="12" t="n"/>
      <c r="C16" s="12" t="n"/>
      <c r="D16" s="15" t="n"/>
      <c r="E16" s="15" t="n"/>
      <c r="F16" s="15" t="n"/>
      <c r="G16" s="15" t="n"/>
      <c r="H16" s="19">
        <f>IF(COUNTA(A16:C16)+COUNT(D16:G16)=0,"",N(E16)+N(F16)+N(G16))</f>
        <v/>
      </c>
      <c r="I16" s="32">
        <f>IF(N(D16)=0,"",H16/D16*100)</f>
        <v/>
      </c>
      <c r="J16" s="19">
        <f>IF(COUNTA(A16:C16)+COUNT(D16:G16)=0,"",N(D16)-N(H16))</f>
        <v/>
      </c>
      <c r="K16" s="16">
        <f>IF(COUNTA(A16:C16)+COUNT(D16:G16)=0,"",RetPctWork)</f>
        <v/>
      </c>
      <c r="L16" s="15" t="n"/>
      <c r="M16" s="19">
        <f>IF(COUNTA(A16:C16)+COUNT(D16:G16)=0,"",N(F16)*N(K16)/100)</f>
        <v/>
      </c>
      <c r="N16" s="15" t="n"/>
      <c r="O16" s="16">
        <f>IF(COUNTA(A16:C16)+COUNT(D16:G16)=0,"",RetPctMatl)</f>
        <v/>
      </c>
      <c r="P16" s="15" t="n"/>
      <c r="Q16" s="19">
        <f>IF(COUNTA(A16:C16)+COUNT(D16:G16)=0,"",N(G16)*N(O16)/100)</f>
        <v/>
      </c>
      <c r="R16" s="15" t="n"/>
      <c r="S16" s="19">
        <f>IF(COUNTA(A16:C16)+COUNT(D16:G16)=0,"",N(L16)+N(M16)-N(N16)+N(P16)+N(Q16)-N(R16))</f>
        <v/>
      </c>
    </row>
    <row r="17">
      <c r="A17" s="12" t="n"/>
      <c r="B17" s="12" t="n"/>
      <c r="C17" s="12" t="n"/>
      <c r="D17" s="15" t="n"/>
      <c r="E17" s="15" t="n"/>
      <c r="F17" s="15" t="n"/>
      <c r="G17" s="15" t="n"/>
      <c r="H17" s="19">
        <f>IF(COUNTA(A17:C17)+COUNT(D17:G17)=0,"",N(E17)+N(F17)+N(G17))</f>
        <v/>
      </c>
      <c r="I17" s="32">
        <f>IF(N(D17)=0,"",H17/D17*100)</f>
        <v/>
      </c>
      <c r="J17" s="19">
        <f>IF(COUNTA(A17:C17)+COUNT(D17:G17)=0,"",N(D17)-N(H17))</f>
        <v/>
      </c>
      <c r="K17" s="16">
        <f>IF(COUNTA(A17:C17)+COUNT(D17:G17)=0,"",RetPctWork)</f>
        <v/>
      </c>
      <c r="L17" s="15" t="n"/>
      <c r="M17" s="19">
        <f>IF(COUNTA(A17:C17)+COUNT(D17:G17)=0,"",N(F17)*N(K17)/100)</f>
        <v/>
      </c>
      <c r="N17" s="15" t="n"/>
      <c r="O17" s="16">
        <f>IF(COUNTA(A17:C17)+COUNT(D17:G17)=0,"",RetPctMatl)</f>
        <v/>
      </c>
      <c r="P17" s="15" t="n"/>
      <c r="Q17" s="19">
        <f>IF(COUNTA(A17:C17)+COUNT(D17:G17)=0,"",N(G17)*N(O17)/100)</f>
        <v/>
      </c>
      <c r="R17" s="15" t="n"/>
      <c r="S17" s="19">
        <f>IF(COUNTA(A17:C17)+COUNT(D17:G17)=0,"",N(L17)+N(M17)-N(N17)+N(P17)+N(Q17)-N(R17))</f>
        <v/>
      </c>
    </row>
    <row r="18">
      <c r="A18" s="12" t="n"/>
      <c r="B18" s="12" t="n"/>
      <c r="C18" s="12" t="n"/>
      <c r="D18" s="15" t="n"/>
      <c r="E18" s="15" t="n"/>
      <c r="F18" s="15" t="n"/>
      <c r="G18" s="15" t="n"/>
      <c r="H18" s="19">
        <f>IF(COUNTA(A18:C18)+COUNT(D18:G18)=0,"",N(E18)+N(F18)+N(G18))</f>
        <v/>
      </c>
      <c r="I18" s="32">
        <f>IF(N(D18)=0,"",H18/D18*100)</f>
        <v/>
      </c>
      <c r="J18" s="19">
        <f>IF(COUNTA(A18:C18)+COUNT(D18:G18)=0,"",N(D18)-N(H18))</f>
        <v/>
      </c>
      <c r="K18" s="16">
        <f>IF(COUNTA(A18:C18)+COUNT(D18:G18)=0,"",RetPctWork)</f>
        <v/>
      </c>
      <c r="L18" s="15" t="n"/>
      <c r="M18" s="19">
        <f>IF(COUNTA(A18:C18)+COUNT(D18:G18)=0,"",N(F18)*N(K18)/100)</f>
        <v/>
      </c>
      <c r="N18" s="15" t="n"/>
      <c r="O18" s="16">
        <f>IF(COUNTA(A18:C18)+COUNT(D18:G18)=0,"",RetPctMatl)</f>
        <v/>
      </c>
      <c r="P18" s="15" t="n"/>
      <c r="Q18" s="19">
        <f>IF(COUNTA(A18:C18)+COUNT(D18:G18)=0,"",N(G18)*N(O18)/100)</f>
        <v/>
      </c>
      <c r="R18" s="15" t="n"/>
      <c r="S18" s="19">
        <f>IF(COUNTA(A18:C18)+COUNT(D18:G18)=0,"",N(L18)+N(M18)-N(N18)+N(P18)+N(Q18)-N(R18))</f>
        <v/>
      </c>
    </row>
    <row r="19">
      <c r="A19" s="12" t="n"/>
      <c r="B19" s="12" t="n"/>
      <c r="C19" s="12" t="n"/>
      <c r="D19" s="15" t="n"/>
      <c r="E19" s="15" t="n"/>
      <c r="F19" s="15" t="n"/>
      <c r="G19" s="15" t="n"/>
      <c r="H19" s="19">
        <f>IF(COUNTA(A19:C19)+COUNT(D19:G19)=0,"",N(E19)+N(F19)+N(G19))</f>
        <v/>
      </c>
      <c r="I19" s="32">
        <f>IF(N(D19)=0,"",H19/D19*100)</f>
        <v/>
      </c>
      <c r="J19" s="19">
        <f>IF(COUNTA(A19:C19)+COUNT(D19:G19)=0,"",N(D19)-N(H19))</f>
        <v/>
      </c>
      <c r="K19" s="16">
        <f>IF(COUNTA(A19:C19)+COUNT(D19:G19)=0,"",RetPctWork)</f>
        <v/>
      </c>
      <c r="L19" s="15" t="n"/>
      <c r="M19" s="19">
        <f>IF(COUNTA(A19:C19)+COUNT(D19:G19)=0,"",N(F19)*N(K19)/100)</f>
        <v/>
      </c>
      <c r="N19" s="15" t="n"/>
      <c r="O19" s="16">
        <f>IF(COUNTA(A19:C19)+COUNT(D19:G19)=0,"",RetPctMatl)</f>
        <v/>
      </c>
      <c r="P19" s="15" t="n"/>
      <c r="Q19" s="19">
        <f>IF(COUNTA(A19:C19)+COUNT(D19:G19)=0,"",N(G19)*N(O19)/100)</f>
        <v/>
      </c>
      <c r="R19" s="15" t="n"/>
      <c r="S19" s="19">
        <f>IF(COUNTA(A19:C19)+COUNT(D19:G19)=0,"",N(L19)+N(M19)-N(N19)+N(P19)+N(Q19)-N(R19))</f>
        <v/>
      </c>
    </row>
    <row r="20">
      <c r="A20" s="12" t="n"/>
      <c r="B20" s="12" t="n"/>
      <c r="C20" s="12" t="n"/>
      <c r="D20" s="15" t="n"/>
      <c r="E20" s="15" t="n"/>
      <c r="F20" s="15" t="n"/>
      <c r="G20" s="15" t="n"/>
      <c r="H20" s="19">
        <f>IF(COUNTA(A20:C20)+COUNT(D20:G20)=0,"",N(E20)+N(F20)+N(G20))</f>
        <v/>
      </c>
      <c r="I20" s="32">
        <f>IF(N(D20)=0,"",H20/D20*100)</f>
        <v/>
      </c>
      <c r="J20" s="19">
        <f>IF(COUNTA(A20:C20)+COUNT(D20:G20)=0,"",N(D20)-N(H20))</f>
        <v/>
      </c>
      <c r="K20" s="16">
        <f>IF(COUNTA(A20:C20)+COUNT(D20:G20)=0,"",RetPctWork)</f>
        <v/>
      </c>
      <c r="L20" s="15" t="n"/>
      <c r="M20" s="19">
        <f>IF(COUNTA(A20:C20)+COUNT(D20:G20)=0,"",N(F20)*N(K20)/100)</f>
        <v/>
      </c>
      <c r="N20" s="15" t="n"/>
      <c r="O20" s="16">
        <f>IF(COUNTA(A20:C20)+COUNT(D20:G20)=0,"",RetPctMatl)</f>
        <v/>
      </c>
      <c r="P20" s="15" t="n"/>
      <c r="Q20" s="19">
        <f>IF(COUNTA(A20:C20)+COUNT(D20:G20)=0,"",N(G20)*N(O20)/100)</f>
        <v/>
      </c>
      <c r="R20" s="15" t="n"/>
      <c r="S20" s="19">
        <f>IF(COUNTA(A20:C20)+COUNT(D20:G20)=0,"",N(L20)+N(M20)-N(N20)+N(P20)+N(Q20)-N(R20))</f>
        <v/>
      </c>
    </row>
    <row r="21">
      <c r="A21" s="12" t="n"/>
      <c r="B21" s="12" t="n"/>
      <c r="C21" s="12" t="n"/>
      <c r="D21" s="15" t="n"/>
      <c r="E21" s="15" t="n"/>
      <c r="F21" s="15" t="n"/>
      <c r="G21" s="15" t="n"/>
      <c r="H21" s="19">
        <f>IF(COUNTA(A21:C21)+COUNT(D21:G21)=0,"",N(E21)+N(F21)+N(G21))</f>
        <v/>
      </c>
      <c r="I21" s="32">
        <f>IF(N(D21)=0,"",H21/D21*100)</f>
        <v/>
      </c>
      <c r="J21" s="19">
        <f>IF(COUNTA(A21:C21)+COUNT(D21:G21)=0,"",N(D21)-N(H21))</f>
        <v/>
      </c>
      <c r="K21" s="16">
        <f>IF(COUNTA(A21:C21)+COUNT(D21:G21)=0,"",RetPctWork)</f>
        <v/>
      </c>
      <c r="L21" s="15" t="n"/>
      <c r="M21" s="19">
        <f>IF(COUNTA(A21:C21)+COUNT(D21:G21)=0,"",N(F21)*N(K21)/100)</f>
        <v/>
      </c>
      <c r="N21" s="15" t="n"/>
      <c r="O21" s="16">
        <f>IF(COUNTA(A21:C21)+COUNT(D21:G21)=0,"",RetPctMatl)</f>
        <v/>
      </c>
      <c r="P21" s="15" t="n"/>
      <c r="Q21" s="19">
        <f>IF(COUNTA(A21:C21)+COUNT(D21:G21)=0,"",N(G21)*N(O21)/100)</f>
        <v/>
      </c>
      <c r="R21" s="15" t="n"/>
      <c r="S21" s="19">
        <f>IF(COUNTA(A21:C21)+COUNT(D21:G21)=0,"",N(L21)+N(M21)-N(N21)+N(P21)+N(Q21)-N(R21))</f>
        <v/>
      </c>
    </row>
    <row r="22">
      <c r="A22" s="12" t="n"/>
      <c r="B22" s="12" t="n"/>
      <c r="C22" s="12" t="n"/>
      <c r="D22" s="15" t="n"/>
      <c r="E22" s="15" t="n"/>
      <c r="F22" s="15" t="n"/>
      <c r="G22" s="15" t="n"/>
      <c r="H22" s="19">
        <f>IF(COUNTA(A22:C22)+COUNT(D22:G22)=0,"",N(E22)+N(F22)+N(G22))</f>
        <v/>
      </c>
      <c r="I22" s="32">
        <f>IF(N(D22)=0,"",H22/D22*100)</f>
        <v/>
      </c>
      <c r="J22" s="19">
        <f>IF(COUNTA(A22:C22)+COUNT(D22:G22)=0,"",N(D22)-N(H22))</f>
        <v/>
      </c>
      <c r="K22" s="16">
        <f>IF(COUNTA(A22:C22)+COUNT(D22:G22)=0,"",RetPctWork)</f>
        <v/>
      </c>
      <c r="L22" s="15" t="n"/>
      <c r="M22" s="19">
        <f>IF(COUNTA(A22:C22)+COUNT(D22:G22)=0,"",N(F22)*N(K22)/100)</f>
        <v/>
      </c>
      <c r="N22" s="15" t="n"/>
      <c r="O22" s="16">
        <f>IF(COUNTA(A22:C22)+COUNT(D22:G22)=0,"",RetPctMatl)</f>
        <v/>
      </c>
      <c r="P22" s="15" t="n"/>
      <c r="Q22" s="19">
        <f>IF(COUNTA(A22:C22)+COUNT(D22:G22)=0,"",N(G22)*N(O22)/100)</f>
        <v/>
      </c>
      <c r="R22" s="15" t="n"/>
      <c r="S22" s="19">
        <f>IF(COUNTA(A22:C22)+COUNT(D22:G22)=0,"",N(L22)+N(M22)-N(N22)+N(P22)+N(Q22)-N(R22))</f>
        <v/>
      </c>
    </row>
    <row r="23">
      <c r="A23" s="12" t="n"/>
      <c r="B23" s="12" t="n"/>
      <c r="C23" s="12" t="n"/>
      <c r="D23" s="15" t="n"/>
      <c r="E23" s="15" t="n"/>
      <c r="F23" s="15" t="n"/>
      <c r="G23" s="15" t="n"/>
      <c r="H23" s="19">
        <f>IF(COUNTA(A23:C23)+COUNT(D23:G23)=0,"",N(E23)+N(F23)+N(G23))</f>
        <v/>
      </c>
      <c r="I23" s="32">
        <f>IF(N(D23)=0,"",H23/D23*100)</f>
        <v/>
      </c>
      <c r="J23" s="19">
        <f>IF(COUNTA(A23:C23)+COUNT(D23:G23)=0,"",N(D23)-N(H23))</f>
        <v/>
      </c>
      <c r="K23" s="16">
        <f>IF(COUNTA(A23:C23)+COUNT(D23:G23)=0,"",RetPctWork)</f>
        <v/>
      </c>
      <c r="L23" s="15" t="n"/>
      <c r="M23" s="19">
        <f>IF(COUNTA(A23:C23)+COUNT(D23:G23)=0,"",N(F23)*N(K23)/100)</f>
        <v/>
      </c>
      <c r="N23" s="15" t="n"/>
      <c r="O23" s="16">
        <f>IF(COUNTA(A23:C23)+COUNT(D23:G23)=0,"",RetPctMatl)</f>
        <v/>
      </c>
      <c r="P23" s="15" t="n"/>
      <c r="Q23" s="19">
        <f>IF(COUNTA(A23:C23)+COUNT(D23:G23)=0,"",N(G23)*N(O23)/100)</f>
        <v/>
      </c>
      <c r="R23" s="15" t="n"/>
      <c r="S23" s="19">
        <f>IF(COUNTA(A23:C23)+COUNT(D23:G23)=0,"",N(L23)+N(M23)-N(N23)+N(P23)+N(Q23)-N(R23))</f>
        <v/>
      </c>
    </row>
    <row r="24">
      <c r="A24" s="12" t="n"/>
      <c r="B24" s="12" t="n"/>
      <c r="C24" s="12" t="n"/>
      <c r="D24" s="15" t="n"/>
      <c r="E24" s="15" t="n"/>
      <c r="F24" s="15" t="n"/>
      <c r="G24" s="15" t="n"/>
      <c r="H24" s="19">
        <f>IF(COUNTA(A24:C24)+COUNT(D24:G24)=0,"",N(E24)+N(F24)+N(G24))</f>
        <v/>
      </c>
      <c r="I24" s="32">
        <f>IF(N(D24)=0,"",H24/D24*100)</f>
        <v/>
      </c>
      <c r="J24" s="19">
        <f>IF(COUNTA(A24:C24)+COUNT(D24:G24)=0,"",N(D24)-N(H24))</f>
        <v/>
      </c>
      <c r="K24" s="16">
        <f>IF(COUNTA(A24:C24)+COUNT(D24:G24)=0,"",RetPctWork)</f>
        <v/>
      </c>
      <c r="L24" s="15" t="n"/>
      <c r="M24" s="19">
        <f>IF(COUNTA(A24:C24)+COUNT(D24:G24)=0,"",N(F24)*N(K24)/100)</f>
        <v/>
      </c>
      <c r="N24" s="15" t="n"/>
      <c r="O24" s="16">
        <f>IF(COUNTA(A24:C24)+COUNT(D24:G24)=0,"",RetPctMatl)</f>
        <v/>
      </c>
      <c r="P24" s="15" t="n"/>
      <c r="Q24" s="19">
        <f>IF(COUNTA(A24:C24)+COUNT(D24:G24)=0,"",N(G24)*N(O24)/100)</f>
        <v/>
      </c>
      <c r="R24" s="15" t="n"/>
      <c r="S24" s="19">
        <f>IF(COUNTA(A24:C24)+COUNT(D24:G24)=0,"",N(L24)+N(M24)-N(N24)+N(P24)+N(Q24)-N(R24))</f>
        <v/>
      </c>
    </row>
    <row r="25">
      <c r="A25" s="12" t="n"/>
      <c r="B25" s="12" t="n"/>
      <c r="C25" s="12" t="n"/>
      <c r="D25" s="15" t="n"/>
      <c r="E25" s="15" t="n"/>
      <c r="F25" s="15" t="n"/>
      <c r="G25" s="15" t="n"/>
      <c r="H25" s="19">
        <f>IF(COUNTA(A25:C25)+COUNT(D25:G25)=0,"",N(E25)+N(F25)+N(G25))</f>
        <v/>
      </c>
      <c r="I25" s="32">
        <f>IF(N(D25)=0,"",H25/D25*100)</f>
        <v/>
      </c>
      <c r="J25" s="19">
        <f>IF(COUNTA(A25:C25)+COUNT(D25:G25)=0,"",N(D25)-N(H25))</f>
        <v/>
      </c>
      <c r="K25" s="16">
        <f>IF(COUNTA(A25:C25)+COUNT(D25:G25)=0,"",RetPctWork)</f>
        <v/>
      </c>
      <c r="L25" s="15" t="n"/>
      <c r="M25" s="19">
        <f>IF(COUNTA(A25:C25)+COUNT(D25:G25)=0,"",N(F25)*N(K25)/100)</f>
        <v/>
      </c>
      <c r="N25" s="15" t="n"/>
      <c r="O25" s="16">
        <f>IF(COUNTA(A25:C25)+COUNT(D25:G25)=0,"",RetPctMatl)</f>
        <v/>
      </c>
      <c r="P25" s="15" t="n"/>
      <c r="Q25" s="19">
        <f>IF(COUNTA(A25:C25)+COUNT(D25:G25)=0,"",N(G25)*N(O25)/100)</f>
        <v/>
      </c>
      <c r="R25" s="15" t="n"/>
      <c r="S25" s="19">
        <f>IF(COUNTA(A25:C25)+COUNT(D25:G25)=0,"",N(L25)+N(M25)-N(N25)+N(P25)+N(Q25)-N(R25))</f>
        <v/>
      </c>
    </row>
    <row r="26">
      <c r="A26" s="12" t="n"/>
      <c r="B26" s="12" t="n"/>
      <c r="C26" s="12" t="n"/>
      <c r="D26" s="15" t="n"/>
      <c r="E26" s="15" t="n"/>
      <c r="F26" s="15" t="n"/>
      <c r="G26" s="15" t="n"/>
      <c r="H26" s="19">
        <f>IF(COUNTA(A26:C26)+COUNT(D26:G26)=0,"",N(E26)+N(F26)+N(G26))</f>
        <v/>
      </c>
      <c r="I26" s="32">
        <f>IF(N(D26)=0,"",H26/D26*100)</f>
        <v/>
      </c>
      <c r="J26" s="19">
        <f>IF(COUNTA(A26:C26)+COUNT(D26:G26)=0,"",N(D26)-N(H26))</f>
        <v/>
      </c>
      <c r="K26" s="16">
        <f>IF(COUNTA(A26:C26)+COUNT(D26:G26)=0,"",RetPctWork)</f>
        <v/>
      </c>
      <c r="L26" s="15" t="n"/>
      <c r="M26" s="19">
        <f>IF(COUNTA(A26:C26)+COUNT(D26:G26)=0,"",N(F26)*N(K26)/100)</f>
        <v/>
      </c>
      <c r="N26" s="15" t="n"/>
      <c r="O26" s="16">
        <f>IF(COUNTA(A26:C26)+COUNT(D26:G26)=0,"",RetPctMatl)</f>
        <v/>
      </c>
      <c r="P26" s="15" t="n"/>
      <c r="Q26" s="19">
        <f>IF(COUNTA(A26:C26)+COUNT(D26:G26)=0,"",N(G26)*N(O26)/100)</f>
        <v/>
      </c>
      <c r="R26" s="15" t="n"/>
      <c r="S26" s="19">
        <f>IF(COUNTA(A26:C26)+COUNT(D26:G26)=0,"",N(L26)+N(M26)-N(N26)+N(P26)+N(Q26)-N(R26))</f>
        <v/>
      </c>
    </row>
    <row r="27">
      <c r="A27" s="12" t="n"/>
      <c r="B27" s="12" t="n"/>
      <c r="C27" s="12" t="n"/>
      <c r="D27" s="15" t="n"/>
      <c r="E27" s="15" t="n"/>
      <c r="F27" s="15" t="n"/>
      <c r="G27" s="15" t="n"/>
      <c r="H27" s="19">
        <f>IF(COUNTA(A27:C27)+COUNT(D27:G27)=0,"",N(E27)+N(F27)+N(G27))</f>
        <v/>
      </c>
      <c r="I27" s="32">
        <f>IF(N(D27)=0,"",H27/D27*100)</f>
        <v/>
      </c>
      <c r="J27" s="19">
        <f>IF(COUNTA(A27:C27)+COUNT(D27:G27)=0,"",N(D27)-N(H27))</f>
        <v/>
      </c>
      <c r="K27" s="16">
        <f>IF(COUNTA(A27:C27)+COUNT(D27:G27)=0,"",RetPctWork)</f>
        <v/>
      </c>
      <c r="L27" s="15" t="n"/>
      <c r="M27" s="19">
        <f>IF(COUNTA(A27:C27)+COUNT(D27:G27)=0,"",N(F27)*N(K27)/100)</f>
        <v/>
      </c>
      <c r="N27" s="15" t="n"/>
      <c r="O27" s="16">
        <f>IF(COUNTA(A27:C27)+COUNT(D27:G27)=0,"",RetPctMatl)</f>
        <v/>
      </c>
      <c r="P27" s="15" t="n"/>
      <c r="Q27" s="19">
        <f>IF(COUNTA(A27:C27)+COUNT(D27:G27)=0,"",N(G27)*N(O27)/100)</f>
        <v/>
      </c>
      <c r="R27" s="15" t="n"/>
      <c r="S27" s="19">
        <f>IF(COUNTA(A27:C27)+COUNT(D27:G27)=0,"",N(L27)+N(M27)-N(N27)+N(P27)+N(Q27)-N(R27))</f>
        <v/>
      </c>
    </row>
    <row r="28">
      <c r="A28" s="12" t="n"/>
      <c r="B28" s="12" t="n"/>
      <c r="C28" s="12" t="n"/>
      <c r="D28" s="15" t="n"/>
      <c r="E28" s="15" t="n"/>
      <c r="F28" s="15" t="n"/>
      <c r="G28" s="15" t="n"/>
      <c r="H28" s="19">
        <f>IF(COUNTA(A28:C28)+COUNT(D28:G28)=0,"",N(E28)+N(F28)+N(G28))</f>
        <v/>
      </c>
      <c r="I28" s="32">
        <f>IF(N(D28)=0,"",H28/D28*100)</f>
        <v/>
      </c>
      <c r="J28" s="19">
        <f>IF(COUNTA(A28:C28)+COUNT(D28:G28)=0,"",N(D28)-N(H28))</f>
        <v/>
      </c>
      <c r="K28" s="16">
        <f>IF(COUNTA(A28:C28)+COUNT(D28:G28)=0,"",RetPctWork)</f>
        <v/>
      </c>
      <c r="L28" s="15" t="n"/>
      <c r="M28" s="19">
        <f>IF(COUNTA(A28:C28)+COUNT(D28:G28)=0,"",N(F28)*N(K28)/100)</f>
        <v/>
      </c>
      <c r="N28" s="15" t="n"/>
      <c r="O28" s="16">
        <f>IF(COUNTA(A28:C28)+COUNT(D28:G28)=0,"",RetPctMatl)</f>
        <v/>
      </c>
      <c r="P28" s="15" t="n"/>
      <c r="Q28" s="19">
        <f>IF(COUNTA(A28:C28)+COUNT(D28:G28)=0,"",N(G28)*N(O28)/100)</f>
        <v/>
      </c>
      <c r="R28" s="15" t="n"/>
      <c r="S28" s="19">
        <f>IF(COUNTA(A28:C28)+COUNT(D28:G28)=0,"",N(L28)+N(M28)-N(N28)+N(P28)+N(Q28)-N(R28))</f>
        <v/>
      </c>
    </row>
    <row r="29">
      <c r="A29" s="12" t="n"/>
      <c r="B29" s="12" t="n"/>
      <c r="C29" s="12" t="n"/>
      <c r="D29" s="15" t="n"/>
      <c r="E29" s="15" t="n"/>
      <c r="F29" s="15" t="n"/>
      <c r="G29" s="15" t="n"/>
      <c r="H29" s="19">
        <f>IF(COUNTA(A29:C29)+COUNT(D29:G29)=0,"",N(E29)+N(F29)+N(G29))</f>
        <v/>
      </c>
      <c r="I29" s="32">
        <f>IF(N(D29)=0,"",H29/D29*100)</f>
        <v/>
      </c>
      <c r="J29" s="19">
        <f>IF(COUNTA(A29:C29)+COUNT(D29:G29)=0,"",N(D29)-N(H29))</f>
        <v/>
      </c>
      <c r="K29" s="16">
        <f>IF(COUNTA(A29:C29)+COUNT(D29:G29)=0,"",RetPctWork)</f>
        <v/>
      </c>
      <c r="L29" s="15" t="n"/>
      <c r="M29" s="19">
        <f>IF(COUNTA(A29:C29)+COUNT(D29:G29)=0,"",N(F29)*N(K29)/100)</f>
        <v/>
      </c>
      <c r="N29" s="15" t="n"/>
      <c r="O29" s="16">
        <f>IF(COUNTA(A29:C29)+COUNT(D29:G29)=0,"",RetPctMatl)</f>
        <v/>
      </c>
      <c r="P29" s="15" t="n"/>
      <c r="Q29" s="19">
        <f>IF(COUNTA(A29:C29)+COUNT(D29:G29)=0,"",N(G29)*N(O29)/100)</f>
        <v/>
      </c>
      <c r="R29" s="15" t="n"/>
      <c r="S29" s="19">
        <f>IF(COUNTA(A29:C29)+COUNT(D29:G29)=0,"",N(L29)+N(M29)-N(N29)+N(P29)+N(Q29)-N(R29))</f>
        <v/>
      </c>
    </row>
    <row r="30">
      <c r="A30" s="12" t="n"/>
      <c r="B30" s="12" t="n"/>
      <c r="C30" s="12" t="n"/>
      <c r="D30" s="15" t="n"/>
      <c r="E30" s="15" t="n"/>
      <c r="F30" s="15" t="n"/>
      <c r="G30" s="15" t="n"/>
      <c r="H30" s="19">
        <f>IF(COUNTA(A30:C30)+COUNT(D30:G30)=0,"",N(E30)+N(F30)+N(G30))</f>
        <v/>
      </c>
      <c r="I30" s="32">
        <f>IF(N(D30)=0,"",H30/D30*100)</f>
        <v/>
      </c>
      <c r="J30" s="19">
        <f>IF(COUNTA(A30:C30)+COUNT(D30:G30)=0,"",N(D30)-N(H30))</f>
        <v/>
      </c>
      <c r="K30" s="16">
        <f>IF(COUNTA(A30:C30)+COUNT(D30:G30)=0,"",RetPctWork)</f>
        <v/>
      </c>
      <c r="L30" s="15" t="n"/>
      <c r="M30" s="19">
        <f>IF(COUNTA(A30:C30)+COUNT(D30:G30)=0,"",N(F30)*N(K30)/100)</f>
        <v/>
      </c>
      <c r="N30" s="15" t="n"/>
      <c r="O30" s="16">
        <f>IF(COUNTA(A30:C30)+COUNT(D30:G30)=0,"",RetPctMatl)</f>
        <v/>
      </c>
      <c r="P30" s="15" t="n"/>
      <c r="Q30" s="19">
        <f>IF(COUNTA(A30:C30)+COUNT(D30:G30)=0,"",N(G30)*N(O30)/100)</f>
        <v/>
      </c>
      <c r="R30" s="15" t="n"/>
      <c r="S30" s="19">
        <f>IF(COUNTA(A30:C30)+COUNT(D30:G30)=0,"",N(L30)+N(M30)-N(N30)+N(P30)+N(Q30)-N(R30))</f>
        <v/>
      </c>
    </row>
    <row r="31">
      <c r="A31" s="12" t="n"/>
      <c r="B31" s="12" t="n"/>
      <c r="C31" s="12" t="n"/>
      <c r="D31" s="15" t="n"/>
      <c r="E31" s="15" t="n"/>
      <c r="F31" s="15" t="n"/>
      <c r="G31" s="15" t="n"/>
      <c r="H31" s="19">
        <f>IF(COUNTA(A31:C31)+COUNT(D31:G31)=0,"",N(E31)+N(F31)+N(G31))</f>
        <v/>
      </c>
      <c r="I31" s="32">
        <f>IF(N(D31)=0,"",H31/D31*100)</f>
        <v/>
      </c>
      <c r="J31" s="19">
        <f>IF(COUNTA(A31:C31)+COUNT(D31:G31)=0,"",N(D31)-N(H31))</f>
        <v/>
      </c>
      <c r="K31" s="16">
        <f>IF(COUNTA(A31:C31)+COUNT(D31:G31)=0,"",RetPctWork)</f>
        <v/>
      </c>
      <c r="L31" s="15" t="n"/>
      <c r="M31" s="19">
        <f>IF(COUNTA(A31:C31)+COUNT(D31:G31)=0,"",N(F31)*N(K31)/100)</f>
        <v/>
      </c>
      <c r="N31" s="15" t="n"/>
      <c r="O31" s="16">
        <f>IF(COUNTA(A31:C31)+COUNT(D31:G31)=0,"",RetPctMatl)</f>
        <v/>
      </c>
      <c r="P31" s="15" t="n"/>
      <c r="Q31" s="19">
        <f>IF(COUNTA(A31:C31)+COUNT(D31:G31)=0,"",N(G31)*N(O31)/100)</f>
        <v/>
      </c>
      <c r="R31" s="15" t="n"/>
      <c r="S31" s="19">
        <f>IF(COUNTA(A31:C31)+COUNT(D31:G31)=0,"",N(L31)+N(M31)-N(N31)+N(P31)+N(Q31)-N(R31))</f>
        <v/>
      </c>
    </row>
    <row r="32">
      <c r="A32" s="12" t="n"/>
      <c r="B32" s="12" t="n"/>
      <c r="C32" s="12" t="n"/>
      <c r="D32" s="15" t="n"/>
      <c r="E32" s="15" t="n"/>
      <c r="F32" s="15" t="n"/>
      <c r="G32" s="15" t="n"/>
      <c r="H32" s="19">
        <f>IF(COUNTA(A32:C32)+COUNT(D32:G32)=0,"",N(E32)+N(F32)+N(G32))</f>
        <v/>
      </c>
      <c r="I32" s="32">
        <f>IF(N(D32)=0,"",H32/D32*100)</f>
        <v/>
      </c>
      <c r="J32" s="19">
        <f>IF(COUNTA(A32:C32)+COUNT(D32:G32)=0,"",N(D32)-N(H32))</f>
        <v/>
      </c>
      <c r="K32" s="16">
        <f>IF(COUNTA(A32:C32)+COUNT(D32:G32)=0,"",RetPctWork)</f>
        <v/>
      </c>
      <c r="L32" s="15" t="n"/>
      <c r="M32" s="19">
        <f>IF(COUNTA(A32:C32)+COUNT(D32:G32)=0,"",N(F32)*N(K32)/100)</f>
        <v/>
      </c>
      <c r="N32" s="15" t="n"/>
      <c r="O32" s="16">
        <f>IF(COUNTA(A32:C32)+COUNT(D32:G32)=0,"",RetPctMatl)</f>
        <v/>
      </c>
      <c r="P32" s="15" t="n"/>
      <c r="Q32" s="19">
        <f>IF(COUNTA(A32:C32)+COUNT(D32:G32)=0,"",N(G32)*N(O32)/100)</f>
        <v/>
      </c>
      <c r="R32" s="15" t="n"/>
      <c r="S32" s="19">
        <f>IF(COUNTA(A32:C32)+COUNT(D32:G32)=0,"",N(L32)+N(M32)-N(N32)+N(P32)+N(Q32)-N(R32))</f>
        <v/>
      </c>
    </row>
    <row r="33">
      <c r="A33" s="12" t="n"/>
      <c r="B33" s="12" t="n"/>
      <c r="C33" s="12" t="n"/>
      <c r="D33" s="15" t="n"/>
      <c r="E33" s="15" t="n"/>
      <c r="F33" s="15" t="n"/>
      <c r="G33" s="15" t="n"/>
      <c r="H33" s="19">
        <f>IF(COUNTA(A33:C33)+COUNT(D33:G33)=0,"",N(E33)+N(F33)+N(G33))</f>
        <v/>
      </c>
      <c r="I33" s="32">
        <f>IF(N(D33)=0,"",H33/D33*100)</f>
        <v/>
      </c>
      <c r="J33" s="19">
        <f>IF(COUNTA(A33:C33)+COUNT(D33:G33)=0,"",N(D33)-N(H33))</f>
        <v/>
      </c>
      <c r="K33" s="16">
        <f>IF(COUNTA(A33:C33)+COUNT(D33:G33)=0,"",RetPctWork)</f>
        <v/>
      </c>
      <c r="L33" s="15" t="n"/>
      <c r="M33" s="19">
        <f>IF(COUNTA(A33:C33)+COUNT(D33:G33)=0,"",N(F33)*N(K33)/100)</f>
        <v/>
      </c>
      <c r="N33" s="15" t="n"/>
      <c r="O33" s="16">
        <f>IF(COUNTA(A33:C33)+COUNT(D33:G33)=0,"",RetPctMatl)</f>
        <v/>
      </c>
      <c r="P33" s="15" t="n"/>
      <c r="Q33" s="19">
        <f>IF(COUNTA(A33:C33)+COUNT(D33:G33)=0,"",N(G33)*N(O33)/100)</f>
        <v/>
      </c>
      <c r="R33" s="15" t="n"/>
      <c r="S33" s="19">
        <f>IF(COUNTA(A33:C33)+COUNT(D33:G33)=0,"",N(L33)+N(M33)-N(N33)+N(P33)+N(Q33)-N(R33))</f>
        <v/>
      </c>
    </row>
    <row r="34">
      <c r="A34" s="12" t="n"/>
      <c r="B34" s="12" t="n"/>
      <c r="C34" s="12" t="n"/>
      <c r="D34" s="15" t="n"/>
      <c r="E34" s="15" t="n"/>
      <c r="F34" s="15" t="n"/>
      <c r="G34" s="15" t="n"/>
      <c r="H34" s="19">
        <f>IF(COUNTA(A34:C34)+COUNT(D34:G34)=0,"",N(E34)+N(F34)+N(G34))</f>
        <v/>
      </c>
      <c r="I34" s="32">
        <f>IF(N(D34)=0,"",H34/D34*100)</f>
        <v/>
      </c>
      <c r="J34" s="19">
        <f>IF(COUNTA(A34:C34)+COUNT(D34:G34)=0,"",N(D34)-N(H34))</f>
        <v/>
      </c>
      <c r="K34" s="16">
        <f>IF(COUNTA(A34:C34)+COUNT(D34:G34)=0,"",RetPctWork)</f>
        <v/>
      </c>
      <c r="L34" s="15" t="n"/>
      <c r="M34" s="19">
        <f>IF(COUNTA(A34:C34)+COUNT(D34:G34)=0,"",N(F34)*N(K34)/100)</f>
        <v/>
      </c>
      <c r="N34" s="15" t="n"/>
      <c r="O34" s="16">
        <f>IF(COUNTA(A34:C34)+COUNT(D34:G34)=0,"",RetPctMatl)</f>
        <v/>
      </c>
      <c r="P34" s="15" t="n"/>
      <c r="Q34" s="19">
        <f>IF(COUNTA(A34:C34)+COUNT(D34:G34)=0,"",N(G34)*N(O34)/100)</f>
        <v/>
      </c>
      <c r="R34" s="15" t="n"/>
      <c r="S34" s="19">
        <f>IF(COUNTA(A34:C34)+COUNT(D34:G34)=0,"",N(L34)+N(M34)-N(N34)+N(P34)+N(Q34)-N(R34))</f>
        <v/>
      </c>
    </row>
    <row r="35">
      <c r="A35" s="12" t="n"/>
      <c r="B35" s="12" t="n"/>
      <c r="C35" s="12" t="n"/>
      <c r="D35" s="15" t="n"/>
      <c r="E35" s="15" t="n"/>
      <c r="F35" s="15" t="n"/>
      <c r="G35" s="15" t="n"/>
      <c r="H35" s="19">
        <f>IF(COUNTA(A35:C35)+COUNT(D35:G35)=0,"",N(E35)+N(F35)+N(G35))</f>
        <v/>
      </c>
      <c r="I35" s="32">
        <f>IF(N(D35)=0,"",H35/D35*100)</f>
        <v/>
      </c>
      <c r="J35" s="19">
        <f>IF(COUNTA(A35:C35)+COUNT(D35:G35)=0,"",N(D35)-N(H35))</f>
        <v/>
      </c>
      <c r="K35" s="16">
        <f>IF(COUNTA(A35:C35)+COUNT(D35:G35)=0,"",RetPctWork)</f>
        <v/>
      </c>
      <c r="L35" s="15" t="n"/>
      <c r="M35" s="19">
        <f>IF(COUNTA(A35:C35)+COUNT(D35:G35)=0,"",N(F35)*N(K35)/100)</f>
        <v/>
      </c>
      <c r="N35" s="15" t="n"/>
      <c r="O35" s="16">
        <f>IF(COUNTA(A35:C35)+COUNT(D35:G35)=0,"",RetPctMatl)</f>
        <v/>
      </c>
      <c r="P35" s="15" t="n"/>
      <c r="Q35" s="19">
        <f>IF(COUNTA(A35:C35)+COUNT(D35:G35)=0,"",N(G35)*N(O35)/100)</f>
        <v/>
      </c>
      <c r="R35" s="15" t="n"/>
      <c r="S35" s="19">
        <f>IF(COUNTA(A35:C35)+COUNT(D35:G35)=0,"",N(L35)+N(M35)-N(N35)+N(P35)+N(Q35)-N(R35))</f>
        <v/>
      </c>
    </row>
    <row r="36">
      <c r="A36" s="12" t="n"/>
      <c r="B36" s="12" t="n"/>
      <c r="C36" s="12" t="n"/>
      <c r="D36" s="15" t="n"/>
      <c r="E36" s="15" t="n"/>
      <c r="F36" s="15" t="n"/>
      <c r="G36" s="15" t="n"/>
      <c r="H36" s="19">
        <f>IF(COUNTA(A36:C36)+COUNT(D36:G36)=0,"",N(E36)+N(F36)+N(G36))</f>
        <v/>
      </c>
      <c r="I36" s="32">
        <f>IF(N(D36)=0,"",H36/D36*100)</f>
        <v/>
      </c>
      <c r="J36" s="19">
        <f>IF(COUNTA(A36:C36)+COUNT(D36:G36)=0,"",N(D36)-N(H36))</f>
        <v/>
      </c>
      <c r="K36" s="16">
        <f>IF(COUNTA(A36:C36)+COUNT(D36:G36)=0,"",RetPctWork)</f>
        <v/>
      </c>
      <c r="L36" s="15" t="n"/>
      <c r="M36" s="19">
        <f>IF(COUNTA(A36:C36)+COUNT(D36:G36)=0,"",N(F36)*N(K36)/100)</f>
        <v/>
      </c>
      <c r="N36" s="15" t="n"/>
      <c r="O36" s="16">
        <f>IF(COUNTA(A36:C36)+COUNT(D36:G36)=0,"",RetPctMatl)</f>
        <v/>
      </c>
      <c r="P36" s="15" t="n"/>
      <c r="Q36" s="19">
        <f>IF(COUNTA(A36:C36)+COUNT(D36:G36)=0,"",N(G36)*N(O36)/100)</f>
        <v/>
      </c>
      <c r="R36" s="15" t="n"/>
      <c r="S36" s="19">
        <f>IF(COUNTA(A36:C36)+COUNT(D36:G36)=0,"",N(L36)+N(M36)-N(N36)+N(P36)+N(Q36)-N(R36))</f>
        <v/>
      </c>
    </row>
    <row r="37">
      <c r="A37" s="12" t="n"/>
      <c r="B37" s="12" t="n"/>
      <c r="C37" s="12" t="n"/>
      <c r="D37" s="15" t="n"/>
      <c r="E37" s="15" t="n"/>
      <c r="F37" s="15" t="n"/>
      <c r="G37" s="15" t="n"/>
      <c r="H37" s="19">
        <f>IF(COUNTA(A37:C37)+COUNT(D37:G37)=0,"",N(E37)+N(F37)+N(G37))</f>
        <v/>
      </c>
      <c r="I37" s="32">
        <f>IF(N(D37)=0,"",H37/D37*100)</f>
        <v/>
      </c>
      <c r="J37" s="19">
        <f>IF(COUNTA(A37:C37)+COUNT(D37:G37)=0,"",N(D37)-N(H37))</f>
        <v/>
      </c>
      <c r="K37" s="16">
        <f>IF(COUNTA(A37:C37)+COUNT(D37:G37)=0,"",RetPctWork)</f>
        <v/>
      </c>
      <c r="L37" s="15" t="n"/>
      <c r="M37" s="19">
        <f>IF(COUNTA(A37:C37)+COUNT(D37:G37)=0,"",N(F37)*N(K37)/100)</f>
        <v/>
      </c>
      <c r="N37" s="15" t="n"/>
      <c r="O37" s="16">
        <f>IF(COUNTA(A37:C37)+COUNT(D37:G37)=0,"",RetPctMatl)</f>
        <v/>
      </c>
      <c r="P37" s="15" t="n"/>
      <c r="Q37" s="19">
        <f>IF(COUNTA(A37:C37)+COUNT(D37:G37)=0,"",N(G37)*N(O37)/100)</f>
        <v/>
      </c>
      <c r="R37" s="15" t="n"/>
      <c r="S37" s="19">
        <f>IF(COUNTA(A37:C37)+COUNT(D37:G37)=0,"",N(L37)+N(M37)-N(N37)+N(P37)+N(Q37)-N(R37))</f>
        <v/>
      </c>
    </row>
    <row r="38">
      <c r="A38" s="12" t="n"/>
      <c r="B38" s="12" t="n"/>
      <c r="C38" s="12" t="n"/>
      <c r="D38" s="15" t="n"/>
      <c r="E38" s="15" t="n"/>
      <c r="F38" s="15" t="n"/>
      <c r="G38" s="15" t="n"/>
      <c r="H38" s="19">
        <f>IF(COUNTA(A38:C38)+COUNT(D38:G38)=0,"",N(E38)+N(F38)+N(G38))</f>
        <v/>
      </c>
      <c r="I38" s="32">
        <f>IF(N(D38)=0,"",H38/D38*100)</f>
        <v/>
      </c>
      <c r="J38" s="19">
        <f>IF(COUNTA(A38:C38)+COUNT(D38:G38)=0,"",N(D38)-N(H38))</f>
        <v/>
      </c>
      <c r="K38" s="16">
        <f>IF(COUNTA(A38:C38)+COUNT(D38:G38)=0,"",RetPctWork)</f>
        <v/>
      </c>
      <c r="L38" s="15" t="n"/>
      <c r="M38" s="19">
        <f>IF(COUNTA(A38:C38)+COUNT(D38:G38)=0,"",N(F38)*N(K38)/100)</f>
        <v/>
      </c>
      <c r="N38" s="15" t="n"/>
      <c r="O38" s="16">
        <f>IF(COUNTA(A38:C38)+COUNT(D38:G38)=0,"",RetPctMatl)</f>
        <v/>
      </c>
      <c r="P38" s="15" t="n"/>
      <c r="Q38" s="19">
        <f>IF(COUNTA(A38:C38)+COUNT(D38:G38)=0,"",N(G38)*N(O38)/100)</f>
        <v/>
      </c>
      <c r="R38" s="15" t="n"/>
      <c r="S38" s="19">
        <f>IF(COUNTA(A38:C38)+COUNT(D38:G38)=0,"",N(L38)+N(M38)-N(N38)+N(P38)+N(Q38)-N(R38))</f>
        <v/>
      </c>
    </row>
    <row r="39">
      <c r="A39" s="12" t="n"/>
      <c r="B39" s="12" t="n"/>
      <c r="C39" s="12" t="n"/>
      <c r="D39" s="15" t="n"/>
      <c r="E39" s="15" t="n"/>
      <c r="F39" s="15" t="n"/>
      <c r="G39" s="15" t="n"/>
      <c r="H39" s="19">
        <f>IF(COUNTA(A39:C39)+COUNT(D39:G39)=0,"",N(E39)+N(F39)+N(G39))</f>
        <v/>
      </c>
      <c r="I39" s="32">
        <f>IF(N(D39)=0,"",H39/D39*100)</f>
        <v/>
      </c>
      <c r="J39" s="19">
        <f>IF(COUNTA(A39:C39)+COUNT(D39:G39)=0,"",N(D39)-N(H39))</f>
        <v/>
      </c>
      <c r="K39" s="16">
        <f>IF(COUNTA(A39:C39)+COUNT(D39:G39)=0,"",RetPctWork)</f>
        <v/>
      </c>
      <c r="L39" s="15" t="n"/>
      <c r="M39" s="19">
        <f>IF(COUNTA(A39:C39)+COUNT(D39:G39)=0,"",N(F39)*N(K39)/100)</f>
        <v/>
      </c>
      <c r="N39" s="15" t="n"/>
      <c r="O39" s="16">
        <f>IF(COUNTA(A39:C39)+COUNT(D39:G39)=0,"",RetPctMatl)</f>
        <v/>
      </c>
      <c r="P39" s="15" t="n"/>
      <c r="Q39" s="19">
        <f>IF(COUNTA(A39:C39)+COUNT(D39:G39)=0,"",N(G39)*N(O39)/100)</f>
        <v/>
      </c>
      <c r="R39" s="15" t="n"/>
      <c r="S39" s="19">
        <f>IF(COUNTA(A39:C39)+COUNT(D39:G39)=0,"",N(L39)+N(M39)-N(N39)+N(P39)+N(Q39)-N(R39))</f>
        <v/>
      </c>
    </row>
    <row r="40">
      <c r="A40" s="12" t="n"/>
      <c r="B40" s="12" t="n"/>
      <c r="C40" s="12" t="n"/>
      <c r="D40" s="15" t="n"/>
      <c r="E40" s="15" t="n"/>
      <c r="F40" s="15" t="n"/>
      <c r="G40" s="15" t="n"/>
      <c r="H40" s="19">
        <f>IF(COUNTA(A40:C40)+COUNT(D40:G40)=0,"",N(E40)+N(F40)+N(G40))</f>
        <v/>
      </c>
      <c r="I40" s="32">
        <f>IF(N(D40)=0,"",H40/D40*100)</f>
        <v/>
      </c>
      <c r="J40" s="19">
        <f>IF(COUNTA(A40:C40)+COUNT(D40:G40)=0,"",N(D40)-N(H40))</f>
        <v/>
      </c>
      <c r="K40" s="16">
        <f>IF(COUNTA(A40:C40)+COUNT(D40:G40)=0,"",RetPctWork)</f>
        <v/>
      </c>
      <c r="L40" s="15" t="n"/>
      <c r="M40" s="19">
        <f>IF(COUNTA(A40:C40)+COUNT(D40:G40)=0,"",N(F40)*N(K40)/100)</f>
        <v/>
      </c>
      <c r="N40" s="15" t="n"/>
      <c r="O40" s="16">
        <f>IF(COUNTA(A40:C40)+COUNT(D40:G40)=0,"",RetPctMatl)</f>
        <v/>
      </c>
      <c r="P40" s="15" t="n"/>
      <c r="Q40" s="19">
        <f>IF(COUNTA(A40:C40)+COUNT(D40:G40)=0,"",N(G40)*N(O40)/100)</f>
        <v/>
      </c>
      <c r="R40" s="15" t="n"/>
      <c r="S40" s="19">
        <f>IF(COUNTA(A40:C40)+COUNT(D40:G40)=0,"",N(L40)+N(M40)-N(N40)+N(P40)+N(Q40)-N(R40))</f>
        <v/>
      </c>
    </row>
    <row r="41">
      <c r="A41" s="12" t="n"/>
      <c r="B41" s="12" t="n"/>
      <c r="C41" s="12" t="n"/>
      <c r="D41" s="15" t="n"/>
      <c r="E41" s="15" t="n"/>
      <c r="F41" s="15" t="n"/>
      <c r="G41" s="15" t="n"/>
      <c r="H41" s="19">
        <f>IF(COUNTA(A41:C41)+COUNT(D41:G41)=0,"",N(E41)+N(F41)+N(G41))</f>
        <v/>
      </c>
      <c r="I41" s="32">
        <f>IF(N(D41)=0,"",H41/D41*100)</f>
        <v/>
      </c>
      <c r="J41" s="19">
        <f>IF(COUNTA(A41:C41)+COUNT(D41:G41)=0,"",N(D41)-N(H41))</f>
        <v/>
      </c>
      <c r="K41" s="16">
        <f>IF(COUNTA(A41:C41)+COUNT(D41:G41)=0,"",RetPctWork)</f>
        <v/>
      </c>
      <c r="L41" s="15" t="n"/>
      <c r="M41" s="19">
        <f>IF(COUNTA(A41:C41)+COUNT(D41:G41)=0,"",N(F41)*N(K41)/100)</f>
        <v/>
      </c>
      <c r="N41" s="15" t="n"/>
      <c r="O41" s="16">
        <f>IF(COUNTA(A41:C41)+COUNT(D41:G41)=0,"",RetPctMatl)</f>
        <v/>
      </c>
      <c r="P41" s="15" t="n"/>
      <c r="Q41" s="19">
        <f>IF(COUNTA(A41:C41)+COUNT(D41:G41)=0,"",N(G41)*N(O41)/100)</f>
        <v/>
      </c>
      <c r="R41" s="15" t="n"/>
      <c r="S41" s="19">
        <f>IF(COUNTA(A41:C41)+COUNT(D41:G41)=0,"",N(L41)+N(M41)-N(N41)+N(P41)+N(Q41)-N(R41))</f>
        <v/>
      </c>
    </row>
    <row r="42">
      <c r="A42" s="12" t="n"/>
      <c r="B42" s="12" t="n"/>
      <c r="C42" s="12" t="n"/>
      <c r="D42" s="15" t="n"/>
      <c r="E42" s="15" t="n"/>
      <c r="F42" s="15" t="n"/>
      <c r="G42" s="15" t="n"/>
      <c r="H42" s="19">
        <f>IF(COUNTA(A42:C42)+COUNT(D42:G42)=0,"",N(E42)+N(F42)+N(G42))</f>
        <v/>
      </c>
      <c r="I42" s="32">
        <f>IF(N(D42)=0,"",H42/D42*100)</f>
        <v/>
      </c>
      <c r="J42" s="19">
        <f>IF(COUNTA(A42:C42)+COUNT(D42:G42)=0,"",N(D42)-N(H42))</f>
        <v/>
      </c>
      <c r="K42" s="16">
        <f>IF(COUNTA(A42:C42)+COUNT(D42:G42)=0,"",RetPctWork)</f>
        <v/>
      </c>
      <c r="L42" s="15" t="n"/>
      <c r="M42" s="19">
        <f>IF(COUNTA(A42:C42)+COUNT(D42:G42)=0,"",N(F42)*N(K42)/100)</f>
        <v/>
      </c>
      <c r="N42" s="15" t="n"/>
      <c r="O42" s="16">
        <f>IF(COUNTA(A42:C42)+COUNT(D42:G42)=0,"",RetPctMatl)</f>
        <v/>
      </c>
      <c r="P42" s="15" t="n"/>
      <c r="Q42" s="19">
        <f>IF(COUNTA(A42:C42)+COUNT(D42:G42)=0,"",N(G42)*N(O42)/100)</f>
        <v/>
      </c>
      <c r="R42" s="15" t="n"/>
      <c r="S42" s="19">
        <f>IF(COUNTA(A42:C42)+COUNT(D42:G42)=0,"",N(L42)+N(M42)-N(N42)+N(P42)+N(Q42)-N(R42))</f>
        <v/>
      </c>
    </row>
    <row r="43">
      <c r="A43" s="12" t="n"/>
      <c r="B43" s="12" t="n"/>
      <c r="C43" s="12" t="n"/>
      <c r="D43" s="15" t="n"/>
      <c r="E43" s="15" t="n"/>
      <c r="F43" s="15" t="n"/>
      <c r="G43" s="15" t="n"/>
      <c r="H43" s="19">
        <f>IF(COUNTA(A43:C43)+COUNT(D43:G43)=0,"",N(E43)+N(F43)+N(G43))</f>
        <v/>
      </c>
      <c r="I43" s="32">
        <f>IF(N(D43)=0,"",H43/D43*100)</f>
        <v/>
      </c>
      <c r="J43" s="19">
        <f>IF(COUNTA(A43:C43)+COUNT(D43:G43)=0,"",N(D43)-N(H43))</f>
        <v/>
      </c>
      <c r="K43" s="16">
        <f>IF(COUNTA(A43:C43)+COUNT(D43:G43)=0,"",RetPctWork)</f>
        <v/>
      </c>
      <c r="L43" s="15" t="n"/>
      <c r="M43" s="19">
        <f>IF(COUNTA(A43:C43)+COUNT(D43:G43)=0,"",N(F43)*N(K43)/100)</f>
        <v/>
      </c>
      <c r="N43" s="15" t="n"/>
      <c r="O43" s="16">
        <f>IF(COUNTA(A43:C43)+COUNT(D43:G43)=0,"",RetPctMatl)</f>
        <v/>
      </c>
      <c r="P43" s="15" t="n"/>
      <c r="Q43" s="19">
        <f>IF(COUNTA(A43:C43)+COUNT(D43:G43)=0,"",N(G43)*N(O43)/100)</f>
        <v/>
      </c>
      <c r="R43" s="15" t="n"/>
      <c r="S43" s="19">
        <f>IF(COUNTA(A43:C43)+COUNT(D43:G43)=0,"",N(L43)+N(M43)-N(N43)+N(P43)+N(Q43)-N(R43))</f>
        <v/>
      </c>
    </row>
    <row r="44">
      <c r="A44" s="12" t="n"/>
      <c r="B44" s="12" t="n"/>
      <c r="C44" s="12" t="n"/>
      <c r="D44" s="15" t="n"/>
      <c r="E44" s="15" t="n"/>
      <c r="F44" s="15" t="n"/>
      <c r="G44" s="15" t="n"/>
      <c r="H44" s="19">
        <f>IF(COUNTA(A44:C44)+COUNT(D44:G44)=0,"",N(E44)+N(F44)+N(G44))</f>
        <v/>
      </c>
      <c r="I44" s="32">
        <f>IF(N(D44)=0,"",H44/D44*100)</f>
        <v/>
      </c>
      <c r="J44" s="19">
        <f>IF(COUNTA(A44:C44)+COUNT(D44:G44)=0,"",N(D44)-N(H44))</f>
        <v/>
      </c>
      <c r="K44" s="16">
        <f>IF(COUNTA(A44:C44)+COUNT(D44:G44)=0,"",RetPctWork)</f>
        <v/>
      </c>
      <c r="L44" s="15" t="n"/>
      <c r="M44" s="19">
        <f>IF(COUNTA(A44:C44)+COUNT(D44:G44)=0,"",N(F44)*N(K44)/100)</f>
        <v/>
      </c>
      <c r="N44" s="15" t="n"/>
      <c r="O44" s="16">
        <f>IF(COUNTA(A44:C44)+COUNT(D44:G44)=0,"",RetPctMatl)</f>
        <v/>
      </c>
      <c r="P44" s="15" t="n"/>
      <c r="Q44" s="19">
        <f>IF(COUNTA(A44:C44)+COUNT(D44:G44)=0,"",N(G44)*N(O44)/100)</f>
        <v/>
      </c>
      <c r="R44" s="15" t="n"/>
      <c r="S44" s="19">
        <f>IF(COUNTA(A44:C44)+COUNT(D44:G44)=0,"",N(L44)+N(M44)-N(N44)+N(P44)+N(Q44)-N(R44))</f>
        <v/>
      </c>
    </row>
    <row r="45">
      <c r="A45" s="12" t="n"/>
      <c r="B45" s="12" t="n"/>
      <c r="C45" s="12" t="n"/>
      <c r="D45" s="15" t="n"/>
      <c r="E45" s="15" t="n"/>
      <c r="F45" s="15" t="n"/>
      <c r="G45" s="15" t="n"/>
      <c r="H45" s="19">
        <f>IF(COUNTA(A45:C45)+COUNT(D45:G45)=0,"",N(E45)+N(F45)+N(G45))</f>
        <v/>
      </c>
      <c r="I45" s="32">
        <f>IF(N(D45)=0,"",H45/D45*100)</f>
        <v/>
      </c>
      <c r="J45" s="19">
        <f>IF(COUNTA(A45:C45)+COUNT(D45:G45)=0,"",N(D45)-N(H45))</f>
        <v/>
      </c>
      <c r="K45" s="16">
        <f>IF(COUNTA(A45:C45)+COUNT(D45:G45)=0,"",RetPctWork)</f>
        <v/>
      </c>
      <c r="L45" s="15" t="n"/>
      <c r="M45" s="19">
        <f>IF(COUNTA(A45:C45)+COUNT(D45:G45)=0,"",N(F45)*N(K45)/100)</f>
        <v/>
      </c>
      <c r="N45" s="15" t="n"/>
      <c r="O45" s="16">
        <f>IF(COUNTA(A45:C45)+COUNT(D45:G45)=0,"",RetPctMatl)</f>
        <v/>
      </c>
      <c r="P45" s="15" t="n"/>
      <c r="Q45" s="19">
        <f>IF(COUNTA(A45:C45)+COUNT(D45:G45)=0,"",N(G45)*N(O45)/100)</f>
        <v/>
      </c>
      <c r="R45" s="15" t="n"/>
      <c r="S45" s="19">
        <f>IF(COUNTA(A45:C45)+COUNT(D45:G45)=0,"",N(L45)+N(M45)-N(N45)+N(P45)+N(Q45)-N(R45))</f>
        <v/>
      </c>
    </row>
    <row r="46">
      <c r="A46" s="12" t="n"/>
      <c r="B46" s="12" t="n"/>
      <c r="C46" s="12" t="n"/>
      <c r="D46" s="15" t="n"/>
      <c r="E46" s="15" t="n"/>
      <c r="F46" s="15" t="n"/>
      <c r="G46" s="15" t="n"/>
      <c r="H46" s="19">
        <f>IF(COUNTA(A46:C46)+COUNT(D46:G46)=0,"",N(E46)+N(F46)+N(G46))</f>
        <v/>
      </c>
      <c r="I46" s="32">
        <f>IF(N(D46)=0,"",H46/D46*100)</f>
        <v/>
      </c>
      <c r="J46" s="19">
        <f>IF(COUNTA(A46:C46)+COUNT(D46:G46)=0,"",N(D46)-N(H46))</f>
        <v/>
      </c>
      <c r="K46" s="16">
        <f>IF(COUNTA(A46:C46)+COUNT(D46:G46)=0,"",RetPctWork)</f>
        <v/>
      </c>
      <c r="L46" s="15" t="n"/>
      <c r="M46" s="19">
        <f>IF(COUNTA(A46:C46)+COUNT(D46:G46)=0,"",N(F46)*N(K46)/100)</f>
        <v/>
      </c>
      <c r="N46" s="15" t="n"/>
      <c r="O46" s="16">
        <f>IF(COUNTA(A46:C46)+COUNT(D46:G46)=0,"",RetPctMatl)</f>
        <v/>
      </c>
      <c r="P46" s="15" t="n"/>
      <c r="Q46" s="19">
        <f>IF(COUNTA(A46:C46)+COUNT(D46:G46)=0,"",N(G46)*N(O46)/100)</f>
        <v/>
      </c>
      <c r="R46" s="15" t="n"/>
      <c r="S46" s="19">
        <f>IF(COUNTA(A46:C46)+COUNT(D46:G46)=0,"",N(L46)+N(M46)-N(N46)+N(P46)+N(Q46)-N(R46))</f>
        <v/>
      </c>
    </row>
    <row r="47">
      <c r="A47" s="33" t="n"/>
      <c r="B47" s="34" t="inlineStr">
        <is>
          <t>SUBTOTAL — BASE CONTRACT</t>
        </is>
      </c>
      <c r="C47" s="33" t="n"/>
      <c r="D47" s="35">
        <f>SUM(D12:D46)</f>
        <v/>
      </c>
      <c r="E47" s="35">
        <f>SUM(E12:E46)</f>
        <v/>
      </c>
      <c r="F47" s="35">
        <f>SUM(F12:F46)</f>
        <v/>
      </c>
      <c r="G47" s="35">
        <f>SUM(G12:G46)</f>
        <v/>
      </c>
      <c r="H47" s="35">
        <f>SUM(H12:H46)</f>
        <v/>
      </c>
      <c r="I47" s="36">
        <f>IF(N(D47)=0,"",H47/D47*100)</f>
        <v/>
      </c>
      <c r="J47" s="35">
        <f>SUM(J12:J46)</f>
        <v/>
      </c>
      <c r="K47" s="33" t="n"/>
      <c r="L47" s="35">
        <f>SUM(L12:L46)</f>
        <v/>
      </c>
      <c r="M47" s="35">
        <f>SUM(M12:M46)</f>
        <v/>
      </c>
      <c r="N47" s="35">
        <f>SUM(N12:N46)</f>
        <v/>
      </c>
      <c r="O47" s="33" t="n"/>
      <c r="P47" s="35">
        <f>SUM(P12:P46)</f>
        <v/>
      </c>
      <c r="Q47" s="35">
        <f>SUM(Q12:Q46)</f>
        <v/>
      </c>
      <c r="R47" s="35">
        <f>SUM(R12:R46)</f>
        <v/>
      </c>
      <c r="S47" s="35">
        <f>SUM(S12:S46)</f>
        <v/>
      </c>
    </row>
    <row r="49">
      <c r="A49" s="28" t="inlineStr">
        <is>
          <t>APPROVED CHANGE ORDERS</t>
        </is>
      </c>
      <c r="B49" s="29" t="n"/>
      <c r="C49" s="30" t="n"/>
      <c r="D49" s="31" t="n"/>
      <c r="E49" s="31" t="n"/>
      <c r="F49" s="31" t="n"/>
      <c r="G49" s="31" t="n"/>
      <c r="H49" s="31" t="n"/>
      <c r="I49" s="31" t="n"/>
      <c r="J49" s="31" t="n"/>
      <c r="K49" s="31" t="n"/>
      <c r="L49" s="31" t="n"/>
      <c r="M49" s="31" t="n"/>
      <c r="N49" s="31" t="n"/>
      <c r="O49" s="31" t="n"/>
      <c r="P49" s="31" t="n"/>
      <c r="Q49" s="31" t="n"/>
      <c r="R49" s="31" t="n"/>
      <c r="S49" s="31" t="n"/>
    </row>
    <row r="50">
      <c r="A50" s="12" t="n"/>
      <c r="B50" s="12" t="n"/>
      <c r="C50" s="12" t="n"/>
      <c r="D50" s="15" t="n"/>
      <c r="E50" s="15" t="n"/>
      <c r="F50" s="15" t="n"/>
      <c r="G50" s="15" t="n"/>
      <c r="H50" s="19">
        <f>IF(COUNTA(A50:C50)+COUNT(D50:G50)=0,"",N(E50)+N(F50)+N(G50))</f>
        <v/>
      </c>
      <c r="I50" s="32">
        <f>IF(N(D50)=0,"",H50/D50*100)</f>
        <v/>
      </c>
      <c r="J50" s="19">
        <f>IF(COUNTA(A50:C50)+COUNT(D50:G50)=0,"",N(D50)-N(H50))</f>
        <v/>
      </c>
      <c r="K50" s="16">
        <f>IF(COUNTA(A50:C50)+COUNT(D50:G50)=0,"",RetPctWork)</f>
        <v/>
      </c>
      <c r="L50" s="15" t="n"/>
      <c r="M50" s="19">
        <f>IF(COUNTA(A50:C50)+COUNT(D50:G50)=0,"",N(F50)*N(K50)/100)</f>
        <v/>
      </c>
      <c r="N50" s="15" t="n"/>
      <c r="O50" s="16">
        <f>IF(COUNTA(A50:C50)+COUNT(D50:G50)=0,"",RetPctMatl)</f>
        <v/>
      </c>
      <c r="P50" s="15" t="n"/>
      <c r="Q50" s="19">
        <f>IF(COUNTA(A50:C50)+COUNT(D50:G50)=0,"",N(G50)*N(O50)/100)</f>
        <v/>
      </c>
      <c r="R50" s="15" t="n"/>
      <c r="S50" s="19">
        <f>IF(COUNTA(A50:C50)+COUNT(D50:G50)=0,"",N(L50)+N(M50)-N(N50)+N(P50)+N(Q50)-N(R50))</f>
        <v/>
      </c>
    </row>
    <row r="51">
      <c r="A51" s="12" t="n"/>
      <c r="B51" s="12" t="n"/>
      <c r="C51" s="12" t="n"/>
      <c r="D51" s="15" t="n"/>
      <c r="E51" s="15" t="n"/>
      <c r="F51" s="15" t="n"/>
      <c r="G51" s="15" t="n"/>
      <c r="H51" s="19">
        <f>IF(COUNTA(A51:C51)+COUNT(D51:G51)=0,"",N(E51)+N(F51)+N(G51))</f>
        <v/>
      </c>
      <c r="I51" s="32">
        <f>IF(N(D51)=0,"",H51/D51*100)</f>
        <v/>
      </c>
      <c r="J51" s="19">
        <f>IF(COUNTA(A51:C51)+COUNT(D51:G51)=0,"",N(D51)-N(H51))</f>
        <v/>
      </c>
      <c r="K51" s="16">
        <f>IF(COUNTA(A51:C51)+COUNT(D51:G51)=0,"",RetPctWork)</f>
        <v/>
      </c>
      <c r="L51" s="15" t="n"/>
      <c r="M51" s="19">
        <f>IF(COUNTA(A51:C51)+COUNT(D51:G51)=0,"",N(F51)*N(K51)/100)</f>
        <v/>
      </c>
      <c r="N51" s="15" t="n"/>
      <c r="O51" s="16">
        <f>IF(COUNTA(A51:C51)+COUNT(D51:G51)=0,"",RetPctMatl)</f>
        <v/>
      </c>
      <c r="P51" s="15" t="n"/>
      <c r="Q51" s="19">
        <f>IF(COUNTA(A51:C51)+COUNT(D51:G51)=0,"",N(G51)*N(O51)/100)</f>
        <v/>
      </c>
      <c r="R51" s="15" t="n"/>
      <c r="S51" s="19">
        <f>IF(COUNTA(A51:C51)+COUNT(D51:G51)=0,"",N(L51)+N(M51)-N(N51)+N(P51)+N(Q51)-N(R51))</f>
        <v/>
      </c>
    </row>
    <row r="52">
      <c r="A52" s="12" t="n"/>
      <c r="B52" s="12" t="n"/>
      <c r="C52" s="12" t="n"/>
      <c r="D52" s="15" t="n"/>
      <c r="E52" s="15" t="n"/>
      <c r="F52" s="15" t="n"/>
      <c r="G52" s="15" t="n"/>
      <c r="H52" s="19">
        <f>IF(COUNTA(A52:C52)+COUNT(D52:G52)=0,"",N(E52)+N(F52)+N(G52))</f>
        <v/>
      </c>
      <c r="I52" s="32">
        <f>IF(N(D52)=0,"",H52/D52*100)</f>
        <v/>
      </c>
      <c r="J52" s="19">
        <f>IF(COUNTA(A52:C52)+COUNT(D52:G52)=0,"",N(D52)-N(H52))</f>
        <v/>
      </c>
      <c r="K52" s="16">
        <f>IF(COUNTA(A52:C52)+COUNT(D52:G52)=0,"",RetPctWork)</f>
        <v/>
      </c>
      <c r="L52" s="15" t="n"/>
      <c r="M52" s="19">
        <f>IF(COUNTA(A52:C52)+COUNT(D52:G52)=0,"",N(F52)*N(K52)/100)</f>
        <v/>
      </c>
      <c r="N52" s="15" t="n"/>
      <c r="O52" s="16">
        <f>IF(COUNTA(A52:C52)+COUNT(D52:G52)=0,"",RetPctMatl)</f>
        <v/>
      </c>
      <c r="P52" s="15" t="n"/>
      <c r="Q52" s="19">
        <f>IF(COUNTA(A52:C52)+COUNT(D52:G52)=0,"",N(G52)*N(O52)/100)</f>
        <v/>
      </c>
      <c r="R52" s="15" t="n"/>
      <c r="S52" s="19">
        <f>IF(COUNTA(A52:C52)+COUNT(D52:G52)=0,"",N(L52)+N(M52)-N(N52)+N(P52)+N(Q52)-N(R52))</f>
        <v/>
      </c>
    </row>
    <row r="53">
      <c r="A53" s="12" t="n"/>
      <c r="B53" s="12" t="n"/>
      <c r="C53" s="12" t="n"/>
      <c r="D53" s="15" t="n"/>
      <c r="E53" s="15" t="n"/>
      <c r="F53" s="15" t="n"/>
      <c r="G53" s="15" t="n"/>
      <c r="H53" s="19">
        <f>IF(COUNTA(A53:C53)+COUNT(D53:G53)=0,"",N(E53)+N(F53)+N(G53))</f>
        <v/>
      </c>
      <c r="I53" s="32">
        <f>IF(N(D53)=0,"",H53/D53*100)</f>
        <v/>
      </c>
      <c r="J53" s="19">
        <f>IF(COUNTA(A53:C53)+COUNT(D53:G53)=0,"",N(D53)-N(H53))</f>
        <v/>
      </c>
      <c r="K53" s="16">
        <f>IF(COUNTA(A53:C53)+COUNT(D53:G53)=0,"",RetPctWork)</f>
        <v/>
      </c>
      <c r="L53" s="15" t="n"/>
      <c r="M53" s="19">
        <f>IF(COUNTA(A53:C53)+COUNT(D53:G53)=0,"",N(F53)*N(K53)/100)</f>
        <v/>
      </c>
      <c r="N53" s="15" t="n"/>
      <c r="O53" s="16">
        <f>IF(COUNTA(A53:C53)+COUNT(D53:G53)=0,"",RetPctMatl)</f>
        <v/>
      </c>
      <c r="P53" s="15" t="n"/>
      <c r="Q53" s="19">
        <f>IF(COUNTA(A53:C53)+COUNT(D53:G53)=0,"",N(G53)*N(O53)/100)</f>
        <v/>
      </c>
      <c r="R53" s="15" t="n"/>
      <c r="S53" s="19">
        <f>IF(COUNTA(A53:C53)+COUNT(D53:G53)=0,"",N(L53)+N(M53)-N(N53)+N(P53)+N(Q53)-N(R53))</f>
        <v/>
      </c>
    </row>
    <row r="54">
      <c r="A54" s="12" t="n"/>
      <c r="B54" s="12" t="n"/>
      <c r="C54" s="12" t="n"/>
      <c r="D54" s="15" t="n"/>
      <c r="E54" s="15" t="n"/>
      <c r="F54" s="15" t="n"/>
      <c r="G54" s="15" t="n"/>
      <c r="H54" s="19">
        <f>IF(COUNTA(A54:C54)+COUNT(D54:G54)=0,"",N(E54)+N(F54)+N(G54))</f>
        <v/>
      </c>
      <c r="I54" s="32">
        <f>IF(N(D54)=0,"",H54/D54*100)</f>
        <v/>
      </c>
      <c r="J54" s="19">
        <f>IF(COUNTA(A54:C54)+COUNT(D54:G54)=0,"",N(D54)-N(H54))</f>
        <v/>
      </c>
      <c r="K54" s="16">
        <f>IF(COUNTA(A54:C54)+COUNT(D54:G54)=0,"",RetPctWork)</f>
        <v/>
      </c>
      <c r="L54" s="15" t="n"/>
      <c r="M54" s="19">
        <f>IF(COUNTA(A54:C54)+COUNT(D54:G54)=0,"",N(F54)*N(K54)/100)</f>
        <v/>
      </c>
      <c r="N54" s="15" t="n"/>
      <c r="O54" s="16">
        <f>IF(COUNTA(A54:C54)+COUNT(D54:G54)=0,"",RetPctMatl)</f>
        <v/>
      </c>
      <c r="P54" s="15" t="n"/>
      <c r="Q54" s="19">
        <f>IF(COUNTA(A54:C54)+COUNT(D54:G54)=0,"",N(G54)*N(O54)/100)</f>
        <v/>
      </c>
      <c r="R54" s="15" t="n"/>
      <c r="S54" s="19">
        <f>IF(COUNTA(A54:C54)+COUNT(D54:G54)=0,"",N(L54)+N(M54)-N(N54)+N(P54)+N(Q54)-N(R54))</f>
        <v/>
      </c>
    </row>
    <row r="55">
      <c r="A55" s="12" t="n"/>
      <c r="B55" s="12" t="n"/>
      <c r="C55" s="12" t="n"/>
      <c r="D55" s="15" t="n"/>
      <c r="E55" s="15" t="n"/>
      <c r="F55" s="15" t="n"/>
      <c r="G55" s="15" t="n"/>
      <c r="H55" s="19">
        <f>IF(COUNTA(A55:C55)+COUNT(D55:G55)=0,"",N(E55)+N(F55)+N(G55))</f>
        <v/>
      </c>
      <c r="I55" s="32">
        <f>IF(N(D55)=0,"",H55/D55*100)</f>
        <v/>
      </c>
      <c r="J55" s="19">
        <f>IF(COUNTA(A55:C55)+COUNT(D55:G55)=0,"",N(D55)-N(H55))</f>
        <v/>
      </c>
      <c r="K55" s="16">
        <f>IF(COUNTA(A55:C55)+COUNT(D55:G55)=0,"",RetPctWork)</f>
        <v/>
      </c>
      <c r="L55" s="15" t="n"/>
      <c r="M55" s="19">
        <f>IF(COUNTA(A55:C55)+COUNT(D55:G55)=0,"",N(F55)*N(K55)/100)</f>
        <v/>
      </c>
      <c r="N55" s="15" t="n"/>
      <c r="O55" s="16">
        <f>IF(COUNTA(A55:C55)+COUNT(D55:G55)=0,"",RetPctMatl)</f>
        <v/>
      </c>
      <c r="P55" s="15" t="n"/>
      <c r="Q55" s="19">
        <f>IF(COUNTA(A55:C55)+COUNT(D55:G55)=0,"",N(G55)*N(O55)/100)</f>
        <v/>
      </c>
      <c r="R55" s="15" t="n"/>
      <c r="S55" s="19">
        <f>IF(COUNTA(A55:C55)+COUNT(D55:G55)=0,"",N(L55)+N(M55)-N(N55)+N(P55)+N(Q55)-N(R55))</f>
        <v/>
      </c>
    </row>
    <row r="56">
      <c r="A56" s="12" t="n"/>
      <c r="B56" s="12" t="n"/>
      <c r="C56" s="12" t="n"/>
      <c r="D56" s="15" t="n"/>
      <c r="E56" s="15" t="n"/>
      <c r="F56" s="15" t="n"/>
      <c r="G56" s="15" t="n"/>
      <c r="H56" s="19">
        <f>IF(COUNTA(A56:C56)+COUNT(D56:G56)=0,"",N(E56)+N(F56)+N(G56))</f>
        <v/>
      </c>
      <c r="I56" s="32">
        <f>IF(N(D56)=0,"",H56/D56*100)</f>
        <v/>
      </c>
      <c r="J56" s="19">
        <f>IF(COUNTA(A56:C56)+COUNT(D56:G56)=0,"",N(D56)-N(H56))</f>
        <v/>
      </c>
      <c r="K56" s="16">
        <f>IF(COUNTA(A56:C56)+COUNT(D56:G56)=0,"",RetPctWork)</f>
        <v/>
      </c>
      <c r="L56" s="15" t="n"/>
      <c r="M56" s="19">
        <f>IF(COUNTA(A56:C56)+COUNT(D56:G56)=0,"",N(F56)*N(K56)/100)</f>
        <v/>
      </c>
      <c r="N56" s="15" t="n"/>
      <c r="O56" s="16">
        <f>IF(COUNTA(A56:C56)+COUNT(D56:G56)=0,"",RetPctMatl)</f>
        <v/>
      </c>
      <c r="P56" s="15" t="n"/>
      <c r="Q56" s="19">
        <f>IF(COUNTA(A56:C56)+COUNT(D56:G56)=0,"",N(G56)*N(O56)/100)</f>
        <v/>
      </c>
      <c r="R56" s="15" t="n"/>
      <c r="S56" s="19">
        <f>IF(COUNTA(A56:C56)+COUNT(D56:G56)=0,"",N(L56)+N(M56)-N(N56)+N(P56)+N(Q56)-N(R56))</f>
        <v/>
      </c>
    </row>
    <row r="57">
      <c r="A57" s="12" t="n"/>
      <c r="B57" s="12" t="n"/>
      <c r="C57" s="12" t="n"/>
      <c r="D57" s="15" t="n"/>
      <c r="E57" s="15" t="n"/>
      <c r="F57" s="15" t="n"/>
      <c r="G57" s="15" t="n"/>
      <c r="H57" s="19">
        <f>IF(COUNTA(A57:C57)+COUNT(D57:G57)=0,"",N(E57)+N(F57)+N(G57))</f>
        <v/>
      </c>
      <c r="I57" s="32">
        <f>IF(N(D57)=0,"",H57/D57*100)</f>
        <v/>
      </c>
      <c r="J57" s="19">
        <f>IF(COUNTA(A57:C57)+COUNT(D57:G57)=0,"",N(D57)-N(H57))</f>
        <v/>
      </c>
      <c r="K57" s="16">
        <f>IF(COUNTA(A57:C57)+COUNT(D57:G57)=0,"",RetPctWork)</f>
        <v/>
      </c>
      <c r="L57" s="15" t="n"/>
      <c r="M57" s="19">
        <f>IF(COUNTA(A57:C57)+COUNT(D57:G57)=0,"",N(F57)*N(K57)/100)</f>
        <v/>
      </c>
      <c r="N57" s="15" t="n"/>
      <c r="O57" s="16">
        <f>IF(COUNTA(A57:C57)+COUNT(D57:G57)=0,"",RetPctMatl)</f>
        <v/>
      </c>
      <c r="P57" s="15" t="n"/>
      <c r="Q57" s="19">
        <f>IF(COUNTA(A57:C57)+COUNT(D57:G57)=0,"",N(G57)*N(O57)/100)</f>
        <v/>
      </c>
      <c r="R57" s="15" t="n"/>
      <c r="S57" s="19">
        <f>IF(COUNTA(A57:C57)+COUNT(D57:G57)=0,"",N(L57)+N(M57)-N(N57)+N(P57)+N(Q57)-N(R57))</f>
        <v/>
      </c>
    </row>
    <row r="58">
      <c r="A58" s="12" t="n"/>
      <c r="B58" s="12" t="n"/>
      <c r="C58" s="12" t="n"/>
      <c r="D58" s="15" t="n"/>
      <c r="E58" s="15" t="n"/>
      <c r="F58" s="15" t="n"/>
      <c r="G58" s="15" t="n"/>
      <c r="H58" s="19">
        <f>IF(COUNTA(A58:C58)+COUNT(D58:G58)=0,"",N(E58)+N(F58)+N(G58))</f>
        <v/>
      </c>
      <c r="I58" s="32">
        <f>IF(N(D58)=0,"",H58/D58*100)</f>
        <v/>
      </c>
      <c r="J58" s="19">
        <f>IF(COUNTA(A58:C58)+COUNT(D58:G58)=0,"",N(D58)-N(H58))</f>
        <v/>
      </c>
      <c r="K58" s="16">
        <f>IF(COUNTA(A58:C58)+COUNT(D58:G58)=0,"",RetPctWork)</f>
        <v/>
      </c>
      <c r="L58" s="15" t="n"/>
      <c r="M58" s="19">
        <f>IF(COUNTA(A58:C58)+COUNT(D58:G58)=0,"",N(F58)*N(K58)/100)</f>
        <v/>
      </c>
      <c r="N58" s="15" t="n"/>
      <c r="O58" s="16">
        <f>IF(COUNTA(A58:C58)+COUNT(D58:G58)=0,"",RetPctMatl)</f>
        <v/>
      </c>
      <c r="P58" s="15" t="n"/>
      <c r="Q58" s="19">
        <f>IF(COUNTA(A58:C58)+COUNT(D58:G58)=0,"",N(G58)*N(O58)/100)</f>
        <v/>
      </c>
      <c r="R58" s="15" t="n"/>
      <c r="S58" s="19">
        <f>IF(COUNTA(A58:C58)+COUNT(D58:G58)=0,"",N(L58)+N(M58)-N(N58)+N(P58)+N(Q58)-N(R58))</f>
        <v/>
      </c>
    </row>
    <row r="59">
      <c r="A59" s="12" t="n"/>
      <c r="B59" s="12" t="n"/>
      <c r="C59" s="12" t="n"/>
      <c r="D59" s="15" t="n"/>
      <c r="E59" s="15" t="n"/>
      <c r="F59" s="15" t="n"/>
      <c r="G59" s="15" t="n"/>
      <c r="H59" s="19">
        <f>IF(COUNTA(A59:C59)+COUNT(D59:G59)=0,"",N(E59)+N(F59)+N(G59))</f>
        <v/>
      </c>
      <c r="I59" s="32">
        <f>IF(N(D59)=0,"",H59/D59*100)</f>
        <v/>
      </c>
      <c r="J59" s="19">
        <f>IF(COUNTA(A59:C59)+COUNT(D59:G59)=0,"",N(D59)-N(H59))</f>
        <v/>
      </c>
      <c r="K59" s="16">
        <f>IF(COUNTA(A59:C59)+COUNT(D59:G59)=0,"",RetPctWork)</f>
        <v/>
      </c>
      <c r="L59" s="15" t="n"/>
      <c r="M59" s="19">
        <f>IF(COUNTA(A59:C59)+COUNT(D59:G59)=0,"",N(F59)*N(K59)/100)</f>
        <v/>
      </c>
      <c r="N59" s="15" t="n"/>
      <c r="O59" s="16">
        <f>IF(COUNTA(A59:C59)+COUNT(D59:G59)=0,"",RetPctMatl)</f>
        <v/>
      </c>
      <c r="P59" s="15" t="n"/>
      <c r="Q59" s="19">
        <f>IF(COUNTA(A59:C59)+COUNT(D59:G59)=0,"",N(G59)*N(O59)/100)</f>
        <v/>
      </c>
      <c r="R59" s="15" t="n"/>
      <c r="S59" s="19">
        <f>IF(COUNTA(A59:C59)+COUNT(D59:G59)=0,"",N(L59)+N(M59)-N(N59)+N(P59)+N(Q59)-N(R59))</f>
        <v/>
      </c>
    </row>
    <row r="60">
      <c r="A60" s="12" t="n"/>
      <c r="B60" s="12" t="n"/>
      <c r="C60" s="12" t="n"/>
      <c r="D60" s="15" t="n"/>
      <c r="E60" s="15" t="n"/>
      <c r="F60" s="15" t="n"/>
      <c r="G60" s="15" t="n"/>
      <c r="H60" s="19">
        <f>IF(COUNTA(A60:C60)+COUNT(D60:G60)=0,"",N(E60)+N(F60)+N(G60))</f>
        <v/>
      </c>
      <c r="I60" s="32">
        <f>IF(N(D60)=0,"",H60/D60*100)</f>
        <v/>
      </c>
      <c r="J60" s="19">
        <f>IF(COUNTA(A60:C60)+COUNT(D60:G60)=0,"",N(D60)-N(H60))</f>
        <v/>
      </c>
      <c r="K60" s="16">
        <f>IF(COUNTA(A60:C60)+COUNT(D60:G60)=0,"",RetPctWork)</f>
        <v/>
      </c>
      <c r="L60" s="15" t="n"/>
      <c r="M60" s="19">
        <f>IF(COUNTA(A60:C60)+COUNT(D60:G60)=0,"",N(F60)*N(K60)/100)</f>
        <v/>
      </c>
      <c r="N60" s="15" t="n"/>
      <c r="O60" s="16">
        <f>IF(COUNTA(A60:C60)+COUNT(D60:G60)=0,"",RetPctMatl)</f>
        <v/>
      </c>
      <c r="P60" s="15" t="n"/>
      <c r="Q60" s="19">
        <f>IF(COUNTA(A60:C60)+COUNT(D60:G60)=0,"",N(G60)*N(O60)/100)</f>
        <v/>
      </c>
      <c r="R60" s="15" t="n"/>
      <c r="S60" s="19">
        <f>IF(COUNTA(A60:C60)+COUNT(D60:G60)=0,"",N(L60)+N(M60)-N(N60)+N(P60)+N(Q60)-N(R60))</f>
        <v/>
      </c>
    </row>
    <row r="61">
      <c r="A61" s="12" t="n"/>
      <c r="B61" s="12" t="n"/>
      <c r="C61" s="12" t="n"/>
      <c r="D61" s="15" t="n"/>
      <c r="E61" s="15" t="n"/>
      <c r="F61" s="15" t="n"/>
      <c r="G61" s="15" t="n"/>
      <c r="H61" s="19">
        <f>IF(COUNTA(A61:C61)+COUNT(D61:G61)=0,"",N(E61)+N(F61)+N(G61))</f>
        <v/>
      </c>
      <c r="I61" s="32">
        <f>IF(N(D61)=0,"",H61/D61*100)</f>
        <v/>
      </c>
      <c r="J61" s="19">
        <f>IF(COUNTA(A61:C61)+COUNT(D61:G61)=0,"",N(D61)-N(H61))</f>
        <v/>
      </c>
      <c r="K61" s="16">
        <f>IF(COUNTA(A61:C61)+COUNT(D61:G61)=0,"",RetPctWork)</f>
        <v/>
      </c>
      <c r="L61" s="15" t="n"/>
      <c r="M61" s="19">
        <f>IF(COUNTA(A61:C61)+COUNT(D61:G61)=0,"",N(F61)*N(K61)/100)</f>
        <v/>
      </c>
      <c r="N61" s="15" t="n"/>
      <c r="O61" s="16">
        <f>IF(COUNTA(A61:C61)+COUNT(D61:G61)=0,"",RetPctMatl)</f>
        <v/>
      </c>
      <c r="P61" s="15" t="n"/>
      <c r="Q61" s="19">
        <f>IF(COUNTA(A61:C61)+COUNT(D61:G61)=0,"",N(G61)*N(O61)/100)</f>
        <v/>
      </c>
      <c r="R61" s="15" t="n"/>
      <c r="S61" s="19">
        <f>IF(COUNTA(A61:C61)+COUNT(D61:G61)=0,"",N(L61)+N(M61)-N(N61)+N(P61)+N(Q61)-N(R61))</f>
        <v/>
      </c>
    </row>
    <row r="62">
      <c r="A62" s="12" t="n"/>
      <c r="B62" s="12" t="n"/>
      <c r="C62" s="12" t="n"/>
      <c r="D62" s="15" t="n"/>
      <c r="E62" s="15" t="n"/>
      <c r="F62" s="15" t="n"/>
      <c r="G62" s="15" t="n"/>
      <c r="H62" s="19">
        <f>IF(COUNTA(A62:C62)+COUNT(D62:G62)=0,"",N(E62)+N(F62)+N(G62))</f>
        <v/>
      </c>
      <c r="I62" s="32">
        <f>IF(N(D62)=0,"",H62/D62*100)</f>
        <v/>
      </c>
      <c r="J62" s="19">
        <f>IF(COUNTA(A62:C62)+COUNT(D62:G62)=0,"",N(D62)-N(H62))</f>
        <v/>
      </c>
      <c r="K62" s="16">
        <f>IF(COUNTA(A62:C62)+COUNT(D62:G62)=0,"",RetPctWork)</f>
        <v/>
      </c>
      <c r="L62" s="15" t="n"/>
      <c r="M62" s="19">
        <f>IF(COUNTA(A62:C62)+COUNT(D62:G62)=0,"",N(F62)*N(K62)/100)</f>
        <v/>
      </c>
      <c r="N62" s="15" t="n"/>
      <c r="O62" s="16">
        <f>IF(COUNTA(A62:C62)+COUNT(D62:G62)=0,"",RetPctMatl)</f>
        <v/>
      </c>
      <c r="P62" s="15" t="n"/>
      <c r="Q62" s="19">
        <f>IF(COUNTA(A62:C62)+COUNT(D62:G62)=0,"",N(G62)*N(O62)/100)</f>
        <v/>
      </c>
      <c r="R62" s="15" t="n"/>
      <c r="S62" s="19">
        <f>IF(COUNTA(A62:C62)+COUNT(D62:G62)=0,"",N(L62)+N(M62)-N(N62)+N(P62)+N(Q62)-N(R62))</f>
        <v/>
      </c>
    </row>
    <row r="63">
      <c r="A63" s="12" t="n"/>
      <c r="B63" s="12" t="n"/>
      <c r="C63" s="12" t="n"/>
      <c r="D63" s="15" t="n"/>
      <c r="E63" s="15" t="n"/>
      <c r="F63" s="15" t="n"/>
      <c r="G63" s="15" t="n"/>
      <c r="H63" s="19">
        <f>IF(COUNTA(A63:C63)+COUNT(D63:G63)=0,"",N(E63)+N(F63)+N(G63))</f>
        <v/>
      </c>
      <c r="I63" s="32">
        <f>IF(N(D63)=0,"",H63/D63*100)</f>
        <v/>
      </c>
      <c r="J63" s="19">
        <f>IF(COUNTA(A63:C63)+COUNT(D63:G63)=0,"",N(D63)-N(H63))</f>
        <v/>
      </c>
      <c r="K63" s="16">
        <f>IF(COUNTA(A63:C63)+COUNT(D63:G63)=0,"",RetPctWork)</f>
        <v/>
      </c>
      <c r="L63" s="15" t="n"/>
      <c r="M63" s="19">
        <f>IF(COUNTA(A63:C63)+COUNT(D63:G63)=0,"",N(F63)*N(K63)/100)</f>
        <v/>
      </c>
      <c r="N63" s="15" t="n"/>
      <c r="O63" s="16">
        <f>IF(COUNTA(A63:C63)+COUNT(D63:G63)=0,"",RetPctMatl)</f>
        <v/>
      </c>
      <c r="P63" s="15" t="n"/>
      <c r="Q63" s="19">
        <f>IF(COUNTA(A63:C63)+COUNT(D63:G63)=0,"",N(G63)*N(O63)/100)</f>
        <v/>
      </c>
      <c r="R63" s="15" t="n"/>
      <c r="S63" s="19">
        <f>IF(COUNTA(A63:C63)+COUNT(D63:G63)=0,"",N(L63)+N(M63)-N(N63)+N(P63)+N(Q63)-N(R63))</f>
        <v/>
      </c>
    </row>
    <row r="64">
      <c r="A64" s="12" t="n"/>
      <c r="B64" s="12" t="n"/>
      <c r="C64" s="12" t="n"/>
      <c r="D64" s="15" t="n"/>
      <c r="E64" s="15" t="n"/>
      <c r="F64" s="15" t="n"/>
      <c r="G64" s="15" t="n"/>
      <c r="H64" s="19">
        <f>IF(COUNTA(A64:C64)+COUNT(D64:G64)=0,"",N(E64)+N(F64)+N(G64))</f>
        <v/>
      </c>
      <c r="I64" s="32">
        <f>IF(N(D64)=0,"",H64/D64*100)</f>
        <v/>
      </c>
      <c r="J64" s="19">
        <f>IF(COUNTA(A64:C64)+COUNT(D64:G64)=0,"",N(D64)-N(H64))</f>
        <v/>
      </c>
      <c r="K64" s="16">
        <f>IF(COUNTA(A64:C64)+COUNT(D64:G64)=0,"",RetPctWork)</f>
        <v/>
      </c>
      <c r="L64" s="15" t="n"/>
      <c r="M64" s="19">
        <f>IF(COUNTA(A64:C64)+COUNT(D64:G64)=0,"",N(F64)*N(K64)/100)</f>
        <v/>
      </c>
      <c r="N64" s="15" t="n"/>
      <c r="O64" s="16">
        <f>IF(COUNTA(A64:C64)+COUNT(D64:G64)=0,"",RetPctMatl)</f>
        <v/>
      </c>
      <c r="P64" s="15" t="n"/>
      <c r="Q64" s="19">
        <f>IF(COUNTA(A64:C64)+COUNT(D64:G64)=0,"",N(G64)*N(O64)/100)</f>
        <v/>
      </c>
      <c r="R64" s="15" t="n"/>
      <c r="S64" s="19">
        <f>IF(COUNTA(A64:C64)+COUNT(D64:G64)=0,"",N(L64)+N(M64)-N(N64)+N(P64)+N(Q64)-N(R64))</f>
        <v/>
      </c>
    </row>
    <row r="65">
      <c r="A65" s="33" t="n"/>
      <c r="B65" s="34" t="inlineStr">
        <is>
          <t>SUBTOTAL — APPROVED CHANGE ORDERS</t>
        </is>
      </c>
      <c r="C65" s="33" t="n"/>
      <c r="D65" s="35">
        <f>SUM(D50:D64)</f>
        <v/>
      </c>
      <c r="E65" s="35">
        <f>SUM(E50:E64)</f>
        <v/>
      </c>
      <c r="F65" s="35">
        <f>SUM(F50:F64)</f>
        <v/>
      </c>
      <c r="G65" s="35">
        <f>SUM(G50:G64)</f>
        <v/>
      </c>
      <c r="H65" s="35">
        <f>SUM(H50:H64)</f>
        <v/>
      </c>
      <c r="I65" s="36">
        <f>IF(N(D65)=0,"",H65/D65*100)</f>
        <v/>
      </c>
      <c r="J65" s="35">
        <f>SUM(J50:J64)</f>
        <v/>
      </c>
      <c r="K65" s="33" t="n"/>
      <c r="L65" s="35">
        <f>SUM(L50:L64)</f>
        <v/>
      </c>
      <c r="M65" s="35">
        <f>SUM(M50:M64)</f>
        <v/>
      </c>
      <c r="N65" s="35">
        <f>SUM(N50:N64)</f>
        <v/>
      </c>
      <c r="O65" s="33" t="n"/>
      <c r="P65" s="35">
        <f>SUM(P50:P64)</f>
        <v/>
      </c>
      <c r="Q65" s="35">
        <f>SUM(Q50:Q64)</f>
        <v/>
      </c>
      <c r="R65" s="35">
        <f>SUM(R50:R64)</f>
        <v/>
      </c>
      <c r="S65" s="35">
        <f>SUM(S50:S64)</f>
        <v/>
      </c>
    </row>
    <row r="67">
      <c r="A67" s="20" t="n"/>
      <c r="B67" s="37" t="inlineStr">
        <is>
          <t>GRAND TOTAL — CARRIES TO THE PAYMENT APPLICATION</t>
        </is>
      </c>
      <c r="C67" s="20" t="n"/>
      <c r="D67" s="38">
        <f>N(D47)+N(D65)</f>
        <v/>
      </c>
      <c r="E67" s="38">
        <f>N(E47)+N(E65)</f>
        <v/>
      </c>
      <c r="F67" s="38">
        <f>N(F47)+N(F65)</f>
        <v/>
      </c>
      <c r="G67" s="38">
        <f>N(G47)+N(G65)</f>
        <v/>
      </c>
      <c r="H67" s="38">
        <f>N(H47)+N(H65)</f>
        <v/>
      </c>
      <c r="I67" s="39">
        <f>IF(N(D67)=0,"",H67/D67*100)</f>
        <v/>
      </c>
      <c r="J67" s="38">
        <f>N(J47)+N(J65)</f>
        <v/>
      </c>
      <c r="K67" s="20" t="n"/>
      <c r="L67" s="38">
        <f>N(L47)+N(L65)</f>
        <v/>
      </c>
      <c r="M67" s="38">
        <f>N(M47)+N(M65)</f>
        <v/>
      </c>
      <c r="N67" s="38">
        <f>N(N47)+N(N65)</f>
        <v/>
      </c>
      <c r="O67" s="20" t="n"/>
      <c r="P67" s="38">
        <f>N(P47)+N(P65)</f>
        <v/>
      </c>
      <c r="Q67" s="38">
        <f>N(Q47)+N(Q65)</f>
        <v/>
      </c>
      <c r="R67" s="38">
        <f>N(R47)+N(R65)</f>
        <v/>
      </c>
      <c r="S67" s="38">
        <f>N(S47)+N(S65)</f>
        <v/>
      </c>
    </row>
    <row r="69">
      <c r="B69" s="23" t="inlineStr">
        <is>
          <t>TIE-OUT — Scheduled Value total vs Line 3, Contract Sum to Date:</t>
        </is>
      </c>
      <c r="H69" s="23">
        <f>IF(ROUND(SOV_ScheduledValue-APP_ContractSumToDate,2)=0,"OK — ties","OUT OF BALANCE by "&amp;TEXT(SOV_ScheduledValue-APP_ContractSumToDate,"#,##0.00"))</f>
        <v/>
      </c>
    </row>
  </sheetData>
  <mergeCells count="3">
    <mergeCell ref="A49:C49"/>
    <mergeCell ref="H69:N69"/>
    <mergeCell ref="A11:C11"/>
  </mergeCells>
  <pageMargins left="0.75" right="0.75" top="1" bottom="1" header="0.5" footer="0.5"/>
  <pageSetup orientation="landscape" fitToWidth="1"/>
  <headerFooter>
    <oddHeader>&amp;R&amp;8 &amp;K9C9998Alleato Group  ·  Form CS</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J70"/>
  <sheetViews>
    <sheetView showGridLines="0" workbookViewId="0">
      <pane xSplit="2" ySplit="11" topLeftCell="C12"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16" customWidth="1" min="3" max="3"/>
    <col width="17" customWidth="1" min="4" max="4"/>
    <col width="16" customWidth="1" min="5" max="5"/>
    <col width="18" customWidth="1" min="6" max="6"/>
    <col width="18" customWidth="1" min="7" max="7"/>
    <col width="9" customWidth="1" min="8" max="8"/>
    <col width="16" customWidth="1" min="9" max="9"/>
    <col width="17" customWidth="1" min="10" max="10"/>
  </cols>
  <sheetData>
    <row r="1" ht="24" customHeight="1">
      <c r="A1" s="2" t="inlineStr">
        <is>
          <t>CONTINUATION SHEET</t>
        </is>
      </c>
    </row>
    <row r="2" ht="16" customHeight="1">
      <c r="A2" s="8" t="inlineStr">
        <is>
          <t>Columns A through I only. Every value is a formula from the Schedule of Values sheet — do not type here. This is the transmittal copy.</t>
        </is>
      </c>
    </row>
    <row r="3" ht="3.5" customHeight="1">
      <c r="A3" s="1" t="n"/>
      <c r="B3" s="1" t="n"/>
      <c r="C3" s="1" t="n"/>
      <c r="D3" s="1" t="n"/>
      <c r="E3" s="1" t="n"/>
      <c r="F3" s="1" t="n"/>
      <c r="G3" s="1" t="n"/>
      <c r="H3" s="1" t="n"/>
      <c r="I3" s="1" t="n"/>
      <c r="J3" s="1" t="n"/>
    </row>
    <row r="4">
      <c r="A4" s="40" t="inlineStr">
        <is>
          <t>The Application and Certificate for Payment containing the Subcontractor’s signed certification is attached. Use Column I on Contracts where variable retainage for line items may apply.</t>
        </is>
      </c>
      <c r="F4" s="41" t="inlineStr">
        <is>
          <t>APPLICATION NO.:</t>
        </is>
      </c>
      <c r="H4" s="42">
        <f>IF(AppNo="","",AppNo)</f>
        <v/>
      </c>
      <c r="I4" s="43" t="n"/>
    </row>
    <row r="5">
      <c r="F5" s="41" t="inlineStr">
        <is>
          <t>APPLICATION DATE:</t>
        </is>
      </c>
      <c r="H5" s="44">
        <f>IF(AppDate="","",AppDate)</f>
        <v/>
      </c>
      <c r="I5" s="43" t="n"/>
    </row>
    <row r="6">
      <c r="F6" s="41" t="inlineStr">
        <is>
          <t>PERIOD TO:</t>
        </is>
      </c>
      <c r="H6" s="44">
        <f>IF(PeriodTo="","",PeriodTo)</f>
        <v/>
      </c>
      <c r="I6" s="43" t="n"/>
    </row>
    <row r="7">
      <c r="F7" s="41" t="inlineStr">
        <is>
          <t>PROJECT NO.:</t>
        </is>
      </c>
      <c r="H7" s="45">
        <f>IF(PrjNumber="","",PrjNumber)</f>
        <v/>
      </c>
      <c r="I7" s="43" t="n"/>
    </row>
    <row r="8" ht="13" customHeight="1">
      <c r="A8" s="27" t="inlineStr">
        <is>
          <t>A</t>
        </is>
      </c>
      <c r="B8" s="27" t="inlineStr">
        <is>
          <t>B</t>
        </is>
      </c>
      <c r="C8" s="27" t="inlineStr">
        <is>
          <t>C</t>
        </is>
      </c>
      <c r="D8" s="27" t="inlineStr">
        <is>
          <t>D</t>
        </is>
      </c>
      <c r="E8" s="27" t="inlineStr">
        <is>
          <t>E</t>
        </is>
      </c>
      <c r="F8" s="27" t="inlineStr">
        <is>
          <t>F</t>
        </is>
      </c>
      <c r="G8" s="27" t="inlineStr">
        <is>
          <t>G</t>
        </is>
      </c>
      <c r="H8" s="30" t="n"/>
      <c r="I8" s="27" t="inlineStr">
        <is>
          <t>H</t>
        </is>
      </c>
      <c r="J8" s="27" t="inlineStr">
        <is>
          <t>I</t>
        </is>
      </c>
    </row>
    <row r="9" ht="15" customHeight="1">
      <c r="A9" s="18" t="inlineStr">
        <is>
          <t>ITEM
NO.</t>
        </is>
      </c>
      <c r="B9" s="18" t="inlineStr">
        <is>
          <t>DESCRIPTION OF WORK</t>
        </is>
      </c>
      <c r="C9" s="18" t="inlineStr">
        <is>
          <t>SCHEDULED
VALUE</t>
        </is>
      </c>
      <c r="D9" s="46" t="inlineStr">
        <is>
          <t>WORK COMPLETED</t>
        </is>
      </c>
      <c r="E9" s="30" t="n"/>
      <c r="F9" s="18" t="inlineStr">
        <is>
          <t>MATERIALS
PRESENTLY STORED
(NOT IN D OR E)</t>
        </is>
      </c>
      <c r="G9" s="18" t="inlineStr">
        <is>
          <t>TOTAL COMPLETED
AND STORED
TO DATE (D+E+F)</t>
        </is>
      </c>
      <c r="H9" s="18" t="inlineStr">
        <is>
          <t>%
(G ÷ C)</t>
        </is>
      </c>
      <c r="I9" s="18" t="inlineStr">
        <is>
          <t>BALANCE TO
FINISH (C – G)</t>
        </is>
      </c>
      <c r="J9" s="18" t="inlineStr">
        <is>
          <t>RETAINAGE
(IF VARIABLE RATE)</t>
        </is>
      </c>
    </row>
    <row r="10" ht="42" customHeight="1">
      <c r="A10" s="47" t="n"/>
      <c r="B10" s="47" t="n"/>
      <c r="C10" s="47" t="n"/>
      <c r="D10" s="18" t="inlineStr">
        <is>
          <t>FROM PREVIOUS
APPLICATION
(D + E)</t>
        </is>
      </c>
      <c r="E10" s="18" t="inlineStr">
        <is>
          <t>THIS PERIOD</t>
        </is>
      </c>
      <c r="F10" s="47" t="n"/>
      <c r="G10" s="47" t="n"/>
      <c r="H10" s="47" t="n"/>
      <c r="I10" s="47" t="n"/>
      <c r="J10" s="47" t="n"/>
    </row>
    <row r="11">
      <c r="A11" s="28" t="inlineStr">
        <is>
          <t>BASE CONTRACT</t>
        </is>
      </c>
      <c r="B11" s="30" t="n"/>
      <c r="C11" s="31" t="n"/>
      <c r="D11" s="31" t="n"/>
      <c r="E11" s="31" t="n"/>
      <c r="F11" s="31" t="n"/>
      <c r="G11" s="31" t="n"/>
      <c r="H11" s="31" t="n"/>
      <c r="I11" s="31" t="n"/>
      <c r="J11" s="31" t="n"/>
    </row>
    <row r="12">
      <c r="A12" s="48">
        <f>IF('Schedule of Values'!A12="","",'Schedule of Values'!A12)</f>
        <v/>
      </c>
      <c r="B12" s="48">
        <f>IF('Schedule of Values'!B12="","",'Schedule of Values'!B12)</f>
        <v/>
      </c>
      <c r="C12" s="49">
        <f>IF('Schedule of Values'!D12="","",'Schedule of Values'!D12)</f>
        <v/>
      </c>
      <c r="D12" s="49">
        <f>IF('Schedule of Values'!E12="","",'Schedule of Values'!E12)</f>
        <v/>
      </c>
      <c r="E12" s="49">
        <f>IF('Schedule of Values'!F12="","",'Schedule of Values'!F12)</f>
        <v/>
      </c>
      <c r="F12" s="49">
        <f>IF('Schedule of Values'!G12="","",'Schedule of Values'!G12)</f>
        <v/>
      </c>
      <c r="G12" s="49">
        <f>IF('Schedule of Values'!H12="","",'Schedule of Values'!H12)</f>
        <v/>
      </c>
      <c r="H12" s="50">
        <f>IF('Schedule of Values'!I12="","",'Schedule of Values'!I12)</f>
        <v/>
      </c>
      <c r="I12" s="49">
        <f>IF('Schedule of Values'!J12="","",'Schedule of Values'!J12)</f>
        <v/>
      </c>
      <c r="J12" s="49">
        <f>IF('Schedule of Values'!S12="","",'Schedule of Values'!S12)</f>
        <v/>
      </c>
    </row>
    <row r="13">
      <c r="A13" s="48">
        <f>IF('Schedule of Values'!A13="","",'Schedule of Values'!A13)</f>
        <v/>
      </c>
      <c r="B13" s="48">
        <f>IF('Schedule of Values'!B13="","",'Schedule of Values'!B13)</f>
        <v/>
      </c>
      <c r="C13" s="49">
        <f>IF('Schedule of Values'!D13="","",'Schedule of Values'!D13)</f>
        <v/>
      </c>
      <c r="D13" s="49">
        <f>IF('Schedule of Values'!E13="","",'Schedule of Values'!E13)</f>
        <v/>
      </c>
      <c r="E13" s="49">
        <f>IF('Schedule of Values'!F13="","",'Schedule of Values'!F13)</f>
        <v/>
      </c>
      <c r="F13" s="49">
        <f>IF('Schedule of Values'!G13="","",'Schedule of Values'!G13)</f>
        <v/>
      </c>
      <c r="G13" s="49">
        <f>IF('Schedule of Values'!H13="","",'Schedule of Values'!H13)</f>
        <v/>
      </c>
      <c r="H13" s="50">
        <f>IF('Schedule of Values'!I13="","",'Schedule of Values'!I13)</f>
        <v/>
      </c>
      <c r="I13" s="49">
        <f>IF('Schedule of Values'!J13="","",'Schedule of Values'!J13)</f>
        <v/>
      </c>
      <c r="J13" s="49">
        <f>IF('Schedule of Values'!S13="","",'Schedule of Values'!S13)</f>
        <v/>
      </c>
    </row>
    <row r="14">
      <c r="A14" s="48">
        <f>IF('Schedule of Values'!A14="","",'Schedule of Values'!A14)</f>
        <v/>
      </c>
      <c r="B14" s="48">
        <f>IF('Schedule of Values'!B14="","",'Schedule of Values'!B14)</f>
        <v/>
      </c>
      <c r="C14" s="49">
        <f>IF('Schedule of Values'!D14="","",'Schedule of Values'!D14)</f>
        <v/>
      </c>
      <c r="D14" s="49">
        <f>IF('Schedule of Values'!E14="","",'Schedule of Values'!E14)</f>
        <v/>
      </c>
      <c r="E14" s="49">
        <f>IF('Schedule of Values'!F14="","",'Schedule of Values'!F14)</f>
        <v/>
      </c>
      <c r="F14" s="49">
        <f>IF('Schedule of Values'!G14="","",'Schedule of Values'!G14)</f>
        <v/>
      </c>
      <c r="G14" s="49">
        <f>IF('Schedule of Values'!H14="","",'Schedule of Values'!H14)</f>
        <v/>
      </c>
      <c r="H14" s="50">
        <f>IF('Schedule of Values'!I14="","",'Schedule of Values'!I14)</f>
        <v/>
      </c>
      <c r="I14" s="49">
        <f>IF('Schedule of Values'!J14="","",'Schedule of Values'!J14)</f>
        <v/>
      </c>
      <c r="J14" s="49">
        <f>IF('Schedule of Values'!S14="","",'Schedule of Values'!S14)</f>
        <v/>
      </c>
    </row>
    <row r="15">
      <c r="A15" s="48">
        <f>IF('Schedule of Values'!A15="","",'Schedule of Values'!A15)</f>
        <v/>
      </c>
      <c r="B15" s="48">
        <f>IF('Schedule of Values'!B15="","",'Schedule of Values'!B15)</f>
        <v/>
      </c>
      <c r="C15" s="49">
        <f>IF('Schedule of Values'!D15="","",'Schedule of Values'!D15)</f>
        <v/>
      </c>
      <c r="D15" s="49">
        <f>IF('Schedule of Values'!E15="","",'Schedule of Values'!E15)</f>
        <v/>
      </c>
      <c r="E15" s="49">
        <f>IF('Schedule of Values'!F15="","",'Schedule of Values'!F15)</f>
        <v/>
      </c>
      <c r="F15" s="49">
        <f>IF('Schedule of Values'!G15="","",'Schedule of Values'!G15)</f>
        <v/>
      </c>
      <c r="G15" s="49">
        <f>IF('Schedule of Values'!H15="","",'Schedule of Values'!H15)</f>
        <v/>
      </c>
      <c r="H15" s="50">
        <f>IF('Schedule of Values'!I15="","",'Schedule of Values'!I15)</f>
        <v/>
      </c>
      <c r="I15" s="49">
        <f>IF('Schedule of Values'!J15="","",'Schedule of Values'!J15)</f>
        <v/>
      </c>
      <c r="J15" s="49">
        <f>IF('Schedule of Values'!S15="","",'Schedule of Values'!S15)</f>
        <v/>
      </c>
    </row>
    <row r="16">
      <c r="A16" s="48">
        <f>IF('Schedule of Values'!A16="","",'Schedule of Values'!A16)</f>
        <v/>
      </c>
      <c r="B16" s="48">
        <f>IF('Schedule of Values'!B16="","",'Schedule of Values'!B16)</f>
        <v/>
      </c>
      <c r="C16" s="49">
        <f>IF('Schedule of Values'!D16="","",'Schedule of Values'!D16)</f>
        <v/>
      </c>
      <c r="D16" s="49">
        <f>IF('Schedule of Values'!E16="","",'Schedule of Values'!E16)</f>
        <v/>
      </c>
      <c r="E16" s="49">
        <f>IF('Schedule of Values'!F16="","",'Schedule of Values'!F16)</f>
        <v/>
      </c>
      <c r="F16" s="49">
        <f>IF('Schedule of Values'!G16="","",'Schedule of Values'!G16)</f>
        <v/>
      </c>
      <c r="G16" s="49">
        <f>IF('Schedule of Values'!H16="","",'Schedule of Values'!H16)</f>
        <v/>
      </c>
      <c r="H16" s="50">
        <f>IF('Schedule of Values'!I16="","",'Schedule of Values'!I16)</f>
        <v/>
      </c>
      <c r="I16" s="49">
        <f>IF('Schedule of Values'!J16="","",'Schedule of Values'!J16)</f>
        <v/>
      </c>
      <c r="J16" s="49">
        <f>IF('Schedule of Values'!S16="","",'Schedule of Values'!S16)</f>
        <v/>
      </c>
    </row>
    <row r="17">
      <c r="A17" s="48">
        <f>IF('Schedule of Values'!A17="","",'Schedule of Values'!A17)</f>
        <v/>
      </c>
      <c r="B17" s="48">
        <f>IF('Schedule of Values'!B17="","",'Schedule of Values'!B17)</f>
        <v/>
      </c>
      <c r="C17" s="49">
        <f>IF('Schedule of Values'!D17="","",'Schedule of Values'!D17)</f>
        <v/>
      </c>
      <c r="D17" s="49">
        <f>IF('Schedule of Values'!E17="","",'Schedule of Values'!E17)</f>
        <v/>
      </c>
      <c r="E17" s="49">
        <f>IF('Schedule of Values'!F17="","",'Schedule of Values'!F17)</f>
        <v/>
      </c>
      <c r="F17" s="49">
        <f>IF('Schedule of Values'!G17="","",'Schedule of Values'!G17)</f>
        <v/>
      </c>
      <c r="G17" s="49">
        <f>IF('Schedule of Values'!H17="","",'Schedule of Values'!H17)</f>
        <v/>
      </c>
      <c r="H17" s="50">
        <f>IF('Schedule of Values'!I17="","",'Schedule of Values'!I17)</f>
        <v/>
      </c>
      <c r="I17" s="49">
        <f>IF('Schedule of Values'!J17="","",'Schedule of Values'!J17)</f>
        <v/>
      </c>
      <c r="J17" s="49">
        <f>IF('Schedule of Values'!S17="","",'Schedule of Values'!S17)</f>
        <v/>
      </c>
    </row>
    <row r="18">
      <c r="A18" s="48">
        <f>IF('Schedule of Values'!A18="","",'Schedule of Values'!A18)</f>
        <v/>
      </c>
      <c r="B18" s="48">
        <f>IF('Schedule of Values'!B18="","",'Schedule of Values'!B18)</f>
        <v/>
      </c>
      <c r="C18" s="49">
        <f>IF('Schedule of Values'!D18="","",'Schedule of Values'!D18)</f>
        <v/>
      </c>
      <c r="D18" s="49">
        <f>IF('Schedule of Values'!E18="","",'Schedule of Values'!E18)</f>
        <v/>
      </c>
      <c r="E18" s="49">
        <f>IF('Schedule of Values'!F18="","",'Schedule of Values'!F18)</f>
        <v/>
      </c>
      <c r="F18" s="49">
        <f>IF('Schedule of Values'!G18="","",'Schedule of Values'!G18)</f>
        <v/>
      </c>
      <c r="G18" s="49">
        <f>IF('Schedule of Values'!H18="","",'Schedule of Values'!H18)</f>
        <v/>
      </c>
      <c r="H18" s="50">
        <f>IF('Schedule of Values'!I18="","",'Schedule of Values'!I18)</f>
        <v/>
      </c>
      <c r="I18" s="49">
        <f>IF('Schedule of Values'!J18="","",'Schedule of Values'!J18)</f>
        <v/>
      </c>
      <c r="J18" s="49">
        <f>IF('Schedule of Values'!S18="","",'Schedule of Values'!S18)</f>
        <v/>
      </c>
    </row>
    <row r="19">
      <c r="A19" s="48">
        <f>IF('Schedule of Values'!A19="","",'Schedule of Values'!A19)</f>
        <v/>
      </c>
      <c r="B19" s="48">
        <f>IF('Schedule of Values'!B19="","",'Schedule of Values'!B19)</f>
        <v/>
      </c>
      <c r="C19" s="49">
        <f>IF('Schedule of Values'!D19="","",'Schedule of Values'!D19)</f>
        <v/>
      </c>
      <c r="D19" s="49">
        <f>IF('Schedule of Values'!E19="","",'Schedule of Values'!E19)</f>
        <v/>
      </c>
      <c r="E19" s="49">
        <f>IF('Schedule of Values'!F19="","",'Schedule of Values'!F19)</f>
        <v/>
      </c>
      <c r="F19" s="49">
        <f>IF('Schedule of Values'!G19="","",'Schedule of Values'!G19)</f>
        <v/>
      </c>
      <c r="G19" s="49">
        <f>IF('Schedule of Values'!H19="","",'Schedule of Values'!H19)</f>
        <v/>
      </c>
      <c r="H19" s="50">
        <f>IF('Schedule of Values'!I19="","",'Schedule of Values'!I19)</f>
        <v/>
      </c>
      <c r="I19" s="49">
        <f>IF('Schedule of Values'!J19="","",'Schedule of Values'!J19)</f>
        <v/>
      </c>
      <c r="J19" s="49">
        <f>IF('Schedule of Values'!S19="","",'Schedule of Values'!S19)</f>
        <v/>
      </c>
    </row>
    <row r="20">
      <c r="A20" s="48">
        <f>IF('Schedule of Values'!A20="","",'Schedule of Values'!A20)</f>
        <v/>
      </c>
      <c r="B20" s="48">
        <f>IF('Schedule of Values'!B20="","",'Schedule of Values'!B20)</f>
        <v/>
      </c>
      <c r="C20" s="49">
        <f>IF('Schedule of Values'!D20="","",'Schedule of Values'!D20)</f>
        <v/>
      </c>
      <c r="D20" s="49">
        <f>IF('Schedule of Values'!E20="","",'Schedule of Values'!E20)</f>
        <v/>
      </c>
      <c r="E20" s="49">
        <f>IF('Schedule of Values'!F20="","",'Schedule of Values'!F20)</f>
        <v/>
      </c>
      <c r="F20" s="49">
        <f>IF('Schedule of Values'!G20="","",'Schedule of Values'!G20)</f>
        <v/>
      </c>
      <c r="G20" s="49">
        <f>IF('Schedule of Values'!H20="","",'Schedule of Values'!H20)</f>
        <v/>
      </c>
      <c r="H20" s="50">
        <f>IF('Schedule of Values'!I20="","",'Schedule of Values'!I20)</f>
        <v/>
      </c>
      <c r="I20" s="49">
        <f>IF('Schedule of Values'!J20="","",'Schedule of Values'!J20)</f>
        <v/>
      </c>
      <c r="J20" s="49">
        <f>IF('Schedule of Values'!S20="","",'Schedule of Values'!S20)</f>
        <v/>
      </c>
    </row>
    <row r="21">
      <c r="A21" s="48">
        <f>IF('Schedule of Values'!A21="","",'Schedule of Values'!A21)</f>
        <v/>
      </c>
      <c r="B21" s="48">
        <f>IF('Schedule of Values'!B21="","",'Schedule of Values'!B21)</f>
        <v/>
      </c>
      <c r="C21" s="49">
        <f>IF('Schedule of Values'!D21="","",'Schedule of Values'!D21)</f>
        <v/>
      </c>
      <c r="D21" s="49">
        <f>IF('Schedule of Values'!E21="","",'Schedule of Values'!E21)</f>
        <v/>
      </c>
      <c r="E21" s="49">
        <f>IF('Schedule of Values'!F21="","",'Schedule of Values'!F21)</f>
        <v/>
      </c>
      <c r="F21" s="49">
        <f>IF('Schedule of Values'!G21="","",'Schedule of Values'!G21)</f>
        <v/>
      </c>
      <c r="G21" s="49">
        <f>IF('Schedule of Values'!H21="","",'Schedule of Values'!H21)</f>
        <v/>
      </c>
      <c r="H21" s="50">
        <f>IF('Schedule of Values'!I21="","",'Schedule of Values'!I21)</f>
        <v/>
      </c>
      <c r="I21" s="49">
        <f>IF('Schedule of Values'!J21="","",'Schedule of Values'!J21)</f>
        <v/>
      </c>
      <c r="J21" s="49">
        <f>IF('Schedule of Values'!S21="","",'Schedule of Values'!S21)</f>
        <v/>
      </c>
    </row>
    <row r="22">
      <c r="A22" s="48">
        <f>IF('Schedule of Values'!A22="","",'Schedule of Values'!A22)</f>
        <v/>
      </c>
      <c r="B22" s="48">
        <f>IF('Schedule of Values'!B22="","",'Schedule of Values'!B22)</f>
        <v/>
      </c>
      <c r="C22" s="49">
        <f>IF('Schedule of Values'!D22="","",'Schedule of Values'!D22)</f>
        <v/>
      </c>
      <c r="D22" s="49">
        <f>IF('Schedule of Values'!E22="","",'Schedule of Values'!E22)</f>
        <v/>
      </c>
      <c r="E22" s="49">
        <f>IF('Schedule of Values'!F22="","",'Schedule of Values'!F22)</f>
        <v/>
      </c>
      <c r="F22" s="49">
        <f>IF('Schedule of Values'!G22="","",'Schedule of Values'!G22)</f>
        <v/>
      </c>
      <c r="G22" s="49">
        <f>IF('Schedule of Values'!H22="","",'Schedule of Values'!H22)</f>
        <v/>
      </c>
      <c r="H22" s="50">
        <f>IF('Schedule of Values'!I22="","",'Schedule of Values'!I22)</f>
        <v/>
      </c>
      <c r="I22" s="49">
        <f>IF('Schedule of Values'!J22="","",'Schedule of Values'!J22)</f>
        <v/>
      </c>
      <c r="J22" s="49">
        <f>IF('Schedule of Values'!S22="","",'Schedule of Values'!S22)</f>
        <v/>
      </c>
    </row>
    <row r="23">
      <c r="A23" s="48">
        <f>IF('Schedule of Values'!A23="","",'Schedule of Values'!A23)</f>
        <v/>
      </c>
      <c r="B23" s="48">
        <f>IF('Schedule of Values'!B23="","",'Schedule of Values'!B23)</f>
        <v/>
      </c>
      <c r="C23" s="49">
        <f>IF('Schedule of Values'!D23="","",'Schedule of Values'!D23)</f>
        <v/>
      </c>
      <c r="D23" s="49">
        <f>IF('Schedule of Values'!E23="","",'Schedule of Values'!E23)</f>
        <v/>
      </c>
      <c r="E23" s="49">
        <f>IF('Schedule of Values'!F23="","",'Schedule of Values'!F23)</f>
        <v/>
      </c>
      <c r="F23" s="49">
        <f>IF('Schedule of Values'!G23="","",'Schedule of Values'!G23)</f>
        <v/>
      </c>
      <c r="G23" s="49">
        <f>IF('Schedule of Values'!H23="","",'Schedule of Values'!H23)</f>
        <v/>
      </c>
      <c r="H23" s="50">
        <f>IF('Schedule of Values'!I23="","",'Schedule of Values'!I23)</f>
        <v/>
      </c>
      <c r="I23" s="49">
        <f>IF('Schedule of Values'!J23="","",'Schedule of Values'!J23)</f>
        <v/>
      </c>
      <c r="J23" s="49">
        <f>IF('Schedule of Values'!S23="","",'Schedule of Values'!S23)</f>
        <v/>
      </c>
    </row>
    <row r="24">
      <c r="A24" s="48">
        <f>IF('Schedule of Values'!A24="","",'Schedule of Values'!A24)</f>
        <v/>
      </c>
      <c r="B24" s="48">
        <f>IF('Schedule of Values'!B24="","",'Schedule of Values'!B24)</f>
        <v/>
      </c>
      <c r="C24" s="49">
        <f>IF('Schedule of Values'!D24="","",'Schedule of Values'!D24)</f>
        <v/>
      </c>
      <c r="D24" s="49">
        <f>IF('Schedule of Values'!E24="","",'Schedule of Values'!E24)</f>
        <v/>
      </c>
      <c r="E24" s="49">
        <f>IF('Schedule of Values'!F24="","",'Schedule of Values'!F24)</f>
        <v/>
      </c>
      <c r="F24" s="49">
        <f>IF('Schedule of Values'!G24="","",'Schedule of Values'!G24)</f>
        <v/>
      </c>
      <c r="G24" s="49">
        <f>IF('Schedule of Values'!H24="","",'Schedule of Values'!H24)</f>
        <v/>
      </c>
      <c r="H24" s="50">
        <f>IF('Schedule of Values'!I24="","",'Schedule of Values'!I24)</f>
        <v/>
      </c>
      <c r="I24" s="49">
        <f>IF('Schedule of Values'!J24="","",'Schedule of Values'!J24)</f>
        <v/>
      </c>
      <c r="J24" s="49">
        <f>IF('Schedule of Values'!S24="","",'Schedule of Values'!S24)</f>
        <v/>
      </c>
    </row>
    <row r="25">
      <c r="A25" s="48">
        <f>IF('Schedule of Values'!A25="","",'Schedule of Values'!A25)</f>
        <v/>
      </c>
      <c r="B25" s="48">
        <f>IF('Schedule of Values'!B25="","",'Schedule of Values'!B25)</f>
        <v/>
      </c>
      <c r="C25" s="49">
        <f>IF('Schedule of Values'!D25="","",'Schedule of Values'!D25)</f>
        <v/>
      </c>
      <c r="D25" s="49">
        <f>IF('Schedule of Values'!E25="","",'Schedule of Values'!E25)</f>
        <v/>
      </c>
      <c r="E25" s="49">
        <f>IF('Schedule of Values'!F25="","",'Schedule of Values'!F25)</f>
        <v/>
      </c>
      <c r="F25" s="49">
        <f>IF('Schedule of Values'!G25="","",'Schedule of Values'!G25)</f>
        <v/>
      </c>
      <c r="G25" s="49">
        <f>IF('Schedule of Values'!H25="","",'Schedule of Values'!H25)</f>
        <v/>
      </c>
      <c r="H25" s="50">
        <f>IF('Schedule of Values'!I25="","",'Schedule of Values'!I25)</f>
        <v/>
      </c>
      <c r="I25" s="49">
        <f>IF('Schedule of Values'!J25="","",'Schedule of Values'!J25)</f>
        <v/>
      </c>
      <c r="J25" s="49">
        <f>IF('Schedule of Values'!S25="","",'Schedule of Values'!S25)</f>
        <v/>
      </c>
    </row>
    <row r="26">
      <c r="A26" s="48">
        <f>IF('Schedule of Values'!A26="","",'Schedule of Values'!A26)</f>
        <v/>
      </c>
      <c r="B26" s="48">
        <f>IF('Schedule of Values'!B26="","",'Schedule of Values'!B26)</f>
        <v/>
      </c>
      <c r="C26" s="49">
        <f>IF('Schedule of Values'!D26="","",'Schedule of Values'!D26)</f>
        <v/>
      </c>
      <c r="D26" s="49">
        <f>IF('Schedule of Values'!E26="","",'Schedule of Values'!E26)</f>
        <v/>
      </c>
      <c r="E26" s="49">
        <f>IF('Schedule of Values'!F26="","",'Schedule of Values'!F26)</f>
        <v/>
      </c>
      <c r="F26" s="49">
        <f>IF('Schedule of Values'!G26="","",'Schedule of Values'!G26)</f>
        <v/>
      </c>
      <c r="G26" s="49">
        <f>IF('Schedule of Values'!H26="","",'Schedule of Values'!H26)</f>
        <v/>
      </c>
      <c r="H26" s="50">
        <f>IF('Schedule of Values'!I26="","",'Schedule of Values'!I26)</f>
        <v/>
      </c>
      <c r="I26" s="49">
        <f>IF('Schedule of Values'!J26="","",'Schedule of Values'!J26)</f>
        <v/>
      </c>
      <c r="J26" s="49">
        <f>IF('Schedule of Values'!S26="","",'Schedule of Values'!S26)</f>
        <v/>
      </c>
    </row>
    <row r="27">
      <c r="A27" s="48">
        <f>IF('Schedule of Values'!A27="","",'Schedule of Values'!A27)</f>
        <v/>
      </c>
      <c r="B27" s="48">
        <f>IF('Schedule of Values'!B27="","",'Schedule of Values'!B27)</f>
        <v/>
      </c>
      <c r="C27" s="49">
        <f>IF('Schedule of Values'!D27="","",'Schedule of Values'!D27)</f>
        <v/>
      </c>
      <c r="D27" s="49">
        <f>IF('Schedule of Values'!E27="","",'Schedule of Values'!E27)</f>
        <v/>
      </c>
      <c r="E27" s="49">
        <f>IF('Schedule of Values'!F27="","",'Schedule of Values'!F27)</f>
        <v/>
      </c>
      <c r="F27" s="49">
        <f>IF('Schedule of Values'!G27="","",'Schedule of Values'!G27)</f>
        <v/>
      </c>
      <c r="G27" s="49">
        <f>IF('Schedule of Values'!H27="","",'Schedule of Values'!H27)</f>
        <v/>
      </c>
      <c r="H27" s="50">
        <f>IF('Schedule of Values'!I27="","",'Schedule of Values'!I27)</f>
        <v/>
      </c>
      <c r="I27" s="49">
        <f>IF('Schedule of Values'!J27="","",'Schedule of Values'!J27)</f>
        <v/>
      </c>
      <c r="J27" s="49">
        <f>IF('Schedule of Values'!S27="","",'Schedule of Values'!S27)</f>
        <v/>
      </c>
    </row>
    <row r="28">
      <c r="A28" s="48">
        <f>IF('Schedule of Values'!A28="","",'Schedule of Values'!A28)</f>
        <v/>
      </c>
      <c r="B28" s="48">
        <f>IF('Schedule of Values'!B28="","",'Schedule of Values'!B28)</f>
        <v/>
      </c>
      <c r="C28" s="49">
        <f>IF('Schedule of Values'!D28="","",'Schedule of Values'!D28)</f>
        <v/>
      </c>
      <c r="D28" s="49">
        <f>IF('Schedule of Values'!E28="","",'Schedule of Values'!E28)</f>
        <v/>
      </c>
      <c r="E28" s="49">
        <f>IF('Schedule of Values'!F28="","",'Schedule of Values'!F28)</f>
        <v/>
      </c>
      <c r="F28" s="49">
        <f>IF('Schedule of Values'!G28="","",'Schedule of Values'!G28)</f>
        <v/>
      </c>
      <c r="G28" s="49">
        <f>IF('Schedule of Values'!H28="","",'Schedule of Values'!H28)</f>
        <v/>
      </c>
      <c r="H28" s="50">
        <f>IF('Schedule of Values'!I28="","",'Schedule of Values'!I28)</f>
        <v/>
      </c>
      <c r="I28" s="49">
        <f>IF('Schedule of Values'!J28="","",'Schedule of Values'!J28)</f>
        <v/>
      </c>
      <c r="J28" s="49">
        <f>IF('Schedule of Values'!S28="","",'Schedule of Values'!S28)</f>
        <v/>
      </c>
    </row>
    <row r="29">
      <c r="A29" s="48">
        <f>IF('Schedule of Values'!A29="","",'Schedule of Values'!A29)</f>
        <v/>
      </c>
      <c r="B29" s="48">
        <f>IF('Schedule of Values'!B29="","",'Schedule of Values'!B29)</f>
        <v/>
      </c>
      <c r="C29" s="49">
        <f>IF('Schedule of Values'!D29="","",'Schedule of Values'!D29)</f>
        <v/>
      </c>
      <c r="D29" s="49">
        <f>IF('Schedule of Values'!E29="","",'Schedule of Values'!E29)</f>
        <v/>
      </c>
      <c r="E29" s="49">
        <f>IF('Schedule of Values'!F29="","",'Schedule of Values'!F29)</f>
        <v/>
      </c>
      <c r="F29" s="49">
        <f>IF('Schedule of Values'!G29="","",'Schedule of Values'!G29)</f>
        <v/>
      </c>
      <c r="G29" s="49">
        <f>IF('Schedule of Values'!H29="","",'Schedule of Values'!H29)</f>
        <v/>
      </c>
      <c r="H29" s="50">
        <f>IF('Schedule of Values'!I29="","",'Schedule of Values'!I29)</f>
        <v/>
      </c>
      <c r="I29" s="49">
        <f>IF('Schedule of Values'!J29="","",'Schedule of Values'!J29)</f>
        <v/>
      </c>
      <c r="J29" s="49">
        <f>IF('Schedule of Values'!S29="","",'Schedule of Values'!S29)</f>
        <v/>
      </c>
    </row>
    <row r="30">
      <c r="A30" s="48">
        <f>IF('Schedule of Values'!A30="","",'Schedule of Values'!A30)</f>
        <v/>
      </c>
      <c r="B30" s="48">
        <f>IF('Schedule of Values'!B30="","",'Schedule of Values'!B30)</f>
        <v/>
      </c>
      <c r="C30" s="49">
        <f>IF('Schedule of Values'!D30="","",'Schedule of Values'!D30)</f>
        <v/>
      </c>
      <c r="D30" s="49">
        <f>IF('Schedule of Values'!E30="","",'Schedule of Values'!E30)</f>
        <v/>
      </c>
      <c r="E30" s="49">
        <f>IF('Schedule of Values'!F30="","",'Schedule of Values'!F30)</f>
        <v/>
      </c>
      <c r="F30" s="49">
        <f>IF('Schedule of Values'!G30="","",'Schedule of Values'!G30)</f>
        <v/>
      </c>
      <c r="G30" s="49">
        <f>IF('Schedule of Values'!H30="","",'Schedule of Values'!H30)</f>
        <v/>
      </c>
      <c r="H30" s="50">
        <f>IF('Schedule of Values'!I30="","",'Schedule of Values'!I30)</f>
        <v/>
      </c>
      <c r="I30" s="49">
        <f>IF('Schedule of Values'!J30="","",'Schedule of Values'!J30)</f>
        <v/>
      </c>
      <c r="J30" s="49">
        <f>IF('Schedule of Values'!S30="","",'Schedule of Values'!S30)</f>
        <v/>
      </c>
    </row>
    <row r="31">
      <c r="A31" s="48">
        <f>IF('Schedule of Values'!A31="","",'Schedule of Values'!A31)</f>
        <v/>
      </c>
      <c r="B31" s="48">
        <f>IF('Schedule of Values'!B31="","",'Schedule of Values'!B31)</f>
        <v/>
      </c>
      <c r="C31" s="49">
        <f>IF('Schedule of Values'!D31="","",'Schedule of Values'!D31)</f>
        <v/>
      </c>
      <c r="D31" s="49">
        <f>IF('Schedule of Values'!E31="","",'Schedule of Values'!E31)</f>
        <v/>
      </c>
      <c r="E31" s="49">
        <f>IF('Schedule of Values'!F31="","",'Schedule of Values'!F31)</f>
        <v/>
      </c>
      <c r="F31" s="49">
        <f>IF('Schedule of Values'!G31="","",'Schedule of Values'!G31)</f>
        <v/>
      </c>
      <c r="G31" s="49">
        <f>IF('Schedule of Values'!H31="","",'Schedule of Values'!H31)</f>
        <v/>
      </c>
      <c r="H31" s="50">
        <f>IF('Schedule of Values'!I31="","",'Schedule of Values'!I31)</f>
        <v/>
      </c>
      <c r="I31" s="49">
        <f>IF('Schedule of Values'!J31="","",'Schedule of Values'!J31)</f>
        <v/>
      </c>
      <c r="J31" s="49">
        <f>IF('Schedule of Values'!S31="","",'Schedule of Values'!S31)</f>
        <v/>
      </c>
    </row>
    <row r="32">
      <c r="A32" s="48">
        <f>IF('Schedule of Values'!A32="","",'Schedule of Values'!A32)</f>
        <v/>
      </c>
      <c r="B32" s="48">
        <f>IF('Schedule of Values'!B32="","",'Schedule of Values'!B32)</f>
        <v/>
      </c>
      <c r="C32" s="49">
        <f>IF('Schedule of Values'!D32="","",'Schedule of Values'!D32)</f>
        <v/>
      </c>
      <c r="D32" s="49">
        <f>IF('Schedule of Values'!E32="","",'Schedule of Values'!E32)</f>
        <v/>
      </c>
      <c r="E32" s="49">
        <f>IF('Schedule of Values'!F32="","",'Schedule of Values'!F32)</f>
        <v/>
      </c>
      <c r="F32" s="49">
        <f>IF('Schedule of Values'!G32="","",'Schedule of Values'!G32)</f>
        <v/>
      </c>
      <c r="G32" s="49">
        <f>IF('Schedule of Values'!H32="","",'Schedule of Values'!H32)</f>
        <v/>
      </c>
      <c r="H32" s="50">
        <f>IF('Schedule of Values'!I32="","",'Schedule of Values'!I32)</f>
        <v/>
      </c>
      <c r="I32" s="49">
        <f>IF('Schedule of Values'!J32="","",'Schedule of Values'!J32)</f>
        <v/>
      </c>
      <c r="J32" s="49">
        <f>IF('Schedule of Values'!S32="","",'Schedule of Values'!S32)</f>
        <v/>
      </c>
    </row>
    <row r="33">
      <c r="A33" s="48">
        <f>IF('Schedule of Values'!A33="","",'Schedule of Values'!A33)</f>
        <v/>
      </c>
      <c r="B33" s="48">
        <f>IF('Schedule of Values'!B33="","",'Schedule of Values'!B33)</f>
        <v/>
      </c>
      <c r="C33" s="49">
        <f>IF('Schedule of Values'!D33="","",'Schedule of Values'!D33)</f>
        <v/>
      </c>
      <c r="D33" s="49">
        <f>IF('Schedule of Values'!E33="","",'Schedule of Values'!E33)</f>
        <v/>
      </c>
      <c r="E33" s="49">
        <f>IF('Schedule of Values'!F33="","",'Schedule of Values'!F33)</f>
        <v/>
      </c>
      <c r="F33" s="49">
        <f>IF('Schedule of Values'!G33="","",'Schedule of Values'!G33)</f>
        <v/>
      </c>
      <c r="G33" s="49">
        <f>IF('Schedule of Values'!H33="","",'Schedule of Values'!H33)</f>
        <v/>
      </c>
      <c r="H33" s="50">
        <f>IF('Schedule of Values'!I33="","",'Schedule of Values'!I33)</f>
        <v/>
      </c>
      <c r="I33" s="49">
        <f>IF('Schedule of Values'!J33="","",'Schedule of Values'!J33)</f>
        <v/>
      </c>
      <c r="J33" s="49">
        <f>IF('Schedule of Values'!S33="","",'Schedule of Values'!S33)</f>
        <v/>
      </c>
    </row>
    <row r="34">
      <c r="A34" s="48">
        <f>IF('Schedule of Values'!A34="","",'Schedule of Values'!A34)</f>
        <v/>
      </c>
      <c r="B34" s="48">
        <f>IF('Schedule of Values'!B34="","",'Schedule of Values'!B34)</f>
        <v/>
      </c>
      <c r="C34" s="49">
        <f>IF('Schedule of Values'!D34="","",'Schedule of Values'!D34)</f>
        <v/>
      </c>
      <c r="D34" s="49">
        <f>IF('Schedule of Values'!E34="","",'Schedule of Values'!E34)</f>
        <v/>
      </c>
      <c r="E34" s="49">
        <f>IF('Schedule of Values'!F34="","",'Schedule of Values'!F34)</f>
        <v/>
      </c>
      <c r="F34" s="49">
        <f>IF('Schedule of Values'!G34="","",'Schedule of Values'!G34)</f>
        <v/>
      </c>
      <c r="G34" s="49">
        <f>IF('Schedule of Values'!H34="","",'Schedule of Values'!H34)</f>
        <v/>
      </c>
      <c r="H34" s="50">
        <f>IF('Schedule of Values'!I34="","",'Schedule of Values'!I34)</f>
        <v/>
      </c>
      <c r="I34" s="49">
        <f>IF('Schedule of Values'!J34="","",'Schedule of Values'!J34)</f>
        <v/>
      </c>
      <c r="J34" s="49">
        <f>IF('Schedule of Values'!S34="","",'Schedule of Values'!S34)</f>
        <v/>
      </c>
    </row>
    <row r="35">
      <c r="A35" s="48">
        <f>IF('Schedule of Values'!A35="","",'Schedule of Values'!A35)</f>
        <v/>
      </c>
      <c r="B35" s="48">
        <f>IF('Schedule of Values'!B35="","",'Schedule of Values'!B35)</f>
        <v/>
      </c>
      <c r="C35" s="49">
        <f>IF('Schedule of Values'!D35="","",'Schedule of Values'!D35)</f>
        <v/>
      </c>
      <c r="D35" s="49">
        <f>IF('Schedule of Values'!E35="","",'Schedule of Values'!E35)</f>
        <v/>
      </c>
      <c r="E35" s="49">
        <f>IF('Schedule of Values'!F35="","",'Schedule of Values'!F35)</f>
        <v/>
      </c>
      <c r="F35" s="49">
        <f>IF('Schedule of Values'!G35="","",'Schedule of Values'!G35)</f>
        <v/>
      </c>
      <c r="G35" s="49">
        <f>IF('Schedule of Values'!H35="","",'Schedule of Values'!H35)</f>
        <v/>
      </c>
      <c r="H35" s="50">
        <f>IF('Schedule of Values'!I35="","",'Schedule of Values'!I35)</f>
        <v/>
      </c>
      <c r="I35" s="49">
        <f>IF('Schedule of Values'!J35="","",'Schedule of Values'!J35)</f>
        <v/>
      </c>
      <c r="J35" s="49">
        <f>IF('Schedule of Values'!S35="","",'Schedule of Values'!S35)</f>
        <v/>
      </c>
    </row>
    <row r="36">
      <c r="A36" s="48">
        <f>IF('Schedule of Values'!A36="","",'Schedule of Values'!A36)</f>
        <v/>
      </c>
      <c r="B36" s="48">
        <f>IF('Schedule of Values'!B36="","",'Schedule of Values'!B36)</f>
        <v/>
      </c>
      <c r="C36" s="49">
        <f>IF('Schedule of Values'!D36="","",'Schedule of Values'!D36)</f>
        <v/>
      </c>
      <c r="D36" s="49">
        <f>IF('Schedule of Values'!E36="","",'Schedule of Values'!E36)</f>
        <v/>
      </c>
      <c r="E36" s="49">
        <f>IF('Schedule of Values'!F36="","",'Schedule of Values'!F36)</f>
        <v/>
      </c>
      <c r="F36" s="49">
        <f>IF('Schedule of Values'!G36="","",'Schedule of Values'!G36)</f>
        <v/>
      </c>
      <c r="G36" s="49">
        <f>IF('Schedule of Values'!H36="","",'Schedule of Values'!H36)</f>
        <v/>
      </c>
      <c r="H36" s="50">
        <f>IF('Schedule of Values'!I36="","",'Schedule of Values'!I36)</f>
        <v/>
      </c>
      <c r="I36" s="49">
        <f>IF('Schedule of Values'!J36="","",'Schedule of Values'!J36)</f>
        <v/>
      </c>
      <c r="J36" s="49">
        <f>IF('Schedule of Values'!S36="","",'Schedule of Values'!S36)</f>
        <v/>
      </c>
    </row>
    <row r="37">
      <c r="A37" s="48">
        <f>IF('Schedule of Values'!A37="","",'Schedule of Values'!A37)</f>
        <v/>
      </c>
      <c r="B37" s="48">
        <f>IF('Schedule of Values'!B37="","",'Schedule of Values'!B37)</f>
        <v/>
      </c>
      <c r="C37" s="49">
        <f>IF('Schedule of Values'!D37="","",'Schedule of Values'!D37)</f>
        <v/>
      </c>
      <c r="D37" s="49">
        <f>IF('Schedule of Values'!E37="","",'Schedule of Values'!E37)</f>
        <v/>
      </c>
      <c r="E37" s="49">
        <f>IF('Schedule of Values'!F37="","",'Schedule of Values'!F37)</f>
        <v/>
      </c>
      <c r="F37" s="49">
        <f>IF('Schedule of Values'!G37="","",'Schedule of Values'!G37)</f>
        <v/>
      </c>
      <c r="G37" s="49">
        <f>IF('Schedule of Values'!H37="","",'Schedule of Values'!H37)</f>
        <v/>
      </c>
      <c r="H37" s="50">
        <f>IF('Schedule of Values'!I37="","",'Schedule of Values'!I37)</f>
        <v/>
      </c>
      <c r="I37" s="49">
        <f>IF('Schedule of Values'!J37="","",'Schedule of Values'!J37)</f>
        <v/>
      </c>
      <c r="J37" s="49">
        <f>IF('Schedule of Values'!S37="","",'Schedule of Values'!S37)</f>
        <v/>
      </c>
    </row>
    <row r="38">
      <c r="A38" s="48">
        <f>IF('Schedule of Values'!A38="","",'Schedule of Values'!A38)</f>
        <v/>
      </c>
      <c r="B38" s="48">
        <f>IF('Schedule of Values'!B38="","",'Schedule of Values'!B38)</f>
        <v/>
      </c>
      <c r="C38" s="49">
        <f>IF('Schedule of Values'!D38="","",'Schedule of Values'!D38)</f>
        <v/>
      </c>
      <c r="D38" s="49">
        <f>IF('Schedule of Values'!E38="","",'Schedule of Values'!E38)</f>
        <v/>
      </c>
      <c r="E38" s="49">
        <f>IF('Schedule of Values'!F38="","",'Schedule of Values'!F38)</f>
        <v/>
      </c>
      <c r="F38" s="49">
        <f>IF('Schedule of Values'!G38="","",'Schedule of Values'!G38)</f>
        <v/>
      </c>
      <c r="G38" s="49">
        <f>IF('Schedule of Values'!H38="","",'Schedule of Values'!H38)</f>
        <v/>
      </c>
      <c r="H38" s="50">
        <f>IF('Schedule of Values'!I38="","",'Schedule of Values'!I38)</f>
        <v/>
      </c>
      <c r="I38" s="49">
        <f>IF('Schedule of Values'!J38="","",'Schedule of Values'!J38)</f>
        <v/>
      </c>
      <c r="J38" s="49">
        <f>IF('Schedule of Values'!S38="","",'Schedule of Values'!S38)</f>
        <v/>
      </c>
    </row>
    <row r="39">
      <c r="A39" s="48">
        <f>IF('Schedule of Values'!A39="","",'Schedule of Values'!A39)</f>
        <v/>
      </c>
      <c r="B39" s="48">
        <f>IF('Schedule of Values'!B39="","",'Schedule of Values'!B39)</f>
        <v/>
      </c>
      <c r="C39" s="49">
        <f>IF('Schedule of Values'!D39="","",'Schedule of Values'!D39)</f>
        <v/>
      </c>
      <c r="D39" s="49">
        <f>IF('Schedule of Values'!E39="","",'Schedule of Values'!E39)</f>
        <v/>
      </c>
      <c r="E39" s="49">
        <f>IF('Schedule of Values'!F39="","",'Schedule of Values'!F39)</f>
        <v/>
      </c>
      <c r="F39" s="49">
        <f>IF('Schedule of Values'!G39="","",'Schedule of Values'!G39)</f>
        <v/>
      </c>
      <c r="G39" s="49">
        <f>IF('Schedule of Values'!H39="","",'Schedule of Values'!H39)</f>
        <v/>
      </c>
      <c r="H39" s="50">
        <f>IF('Schedule of Values'!I39="","",'Schedule of Values'!I39)</f>
        <v/>
      </c>
      <c r="I39" s="49">
        <f>IF('Schedule of Values'!J39="","",'Schedule of Values'!J39)</f>
        <v/>
      </c>
      <c r="J39" s="49">
        <f>IF('Schedule of Values'!S39="","",'Schedule of Values'!S39)</f>
        <v/>
      </c>
    </row>
    <row r="40">
      <c r="A40" s="48">
        <f>IF('Schedule of Values'!A40="","",'Schedule of Values'!A40)</f>
        <v/>
      </c>
      <c r="B40" s="48">
        <f>IF('Schedule of Values'!B40="","",'Schedule of Values'!B40)</f>
        <v/>
      </c>
      <c r="C40" s="49">
        <f>IF('Schedule of Values'!D40="","",'Schedule of Values'!D40)</f>
        <v/>
      </c>
      <c r="D40" s="49">
        <f>IF('Schedule of Values'!E40="","",'Schedule of Values'!E40)</f>
        <v/>
      </c>
      <c r="E40" s="49">
        <f>IF('Schedule of Values'!F40="","",'Schedule of Values'!F40)</f>
        <v/>
      </c>
      <c r="F40" s="49">
        <f>IF('Schedule of Values'!G40="","",'Schedule of Values'!G40)</f>
        <v/>
      </c>
      <c r="G40" s="49">
        <f>IF('Schedule of Values'!H40="","",'Schedule of Values'!H40)</f>
        <v/>
      </c>
      <c r="H40" s="50">
        <f>IF('Schedule of Values'!I40="","",'Schedule of Values'!I40)</f>
        <v/>
      </c>
      <c r="I40" s="49">
        <f>IF('Schedule of Values'!J40="","",'Schedule of Values'!J40)</f>
        <v/>
      </c>
      <c r="J40" s="49">
        <f>IF('Schedule of Values'!S40="","",'Schedule of Values'!S40)</f>
        <v/>
      </c>
    </row>
    <row r="41">
      <c r="A41" s="48">
        <f>IF('Schedule of Values'!A41="","",'Schedule of Values'!A41)</f>
        <v/>
      </c>
      <c r="B41" s="48">
        <f>IF('Schedule of Values'!B41="","",'Schedule of Values'!B41)</f>
        <v/>
      </c>
      <c r="C41" s="49">
        <f>IF('Schedule of Values'!D41="","",'Schedule of Values'!D41)</f>
        <v/>
      </c>
      <c r="D41" s="49">
        <f>IF('Schedule of Values'!E41="","",'Schedule of Values'!E41)</f>
        <v/>
      </c>
      <c r="E41" s="49">
        <f>IF('Schedule of Values'!F41="","",'Schedule of Values'!F41)</f>
        <v/>
      </c>
      <c r="F41" s="49">
        <f>IF('Schedule of Values'!G41="","",'Schedule of Values'!G41)</f>
        <v/>
      </c>
      <c r="G41" s="49">
        <f>IF('Schedule of Values'!H41="","",'Schedule of Values'!H41)</f>
        <v/>
      </c>
      <c r="H41" s="50">
        <f>IF('Schedule of Values'!I41="","",'Schedule of Values'!I41)</f>
        <v/>
      </c>
      <c r="I41" s="49">
        <f>IF('Schedule of Values'!J41="","",'Schedule of Values'!J41)</f>
        <v/>
      </c>
      <c r="J41" s="49">
        <f>IF('Schedule of Values'!S41="","",'Schedule of Values'!S41)</f>
        <v/>
      </c>
    </row>
    <row r="42">
      <c r="A42" s="48">
        <f>IF('Schedule of Values'!A42="","",'Schedule of Values'!A42)</f>
        <v/>
      </c>
      <c r="B42" s="48">
        <f>IF('Schedule of Values'!B42="","",'Schedule of Values'!B42)</f>
        <v/>
      </c>
      <c r="C42" s="49">
        <f>IF('Schedule of Values'!D42="","",'Schedule of Values'!D42)</f>
        <v/>
      </c>
      <c r="D42" s="49">
        <f>IF('Schedule of Values'!E42="","",'Schedule of Values'!E42)</f>
        <v/>
      </c>
      <c r="E42" s="49">
        <f>IF('Schedule of Values'!F42="","",'Schedule of Values'!F42)</f>
        <v/>
      </c>
      <c r="F42" s="49">
        <f>IF('Schedule of Values'!G42="","",'Schedule of Values'!G42)</f>
        <v/>
      </c>
      <c r="G42" s="49">
        <f>IF('Schedule of Values'!H42="","",'Schedule of Values'!H42)</f>
        <v/>
      </c>
      <c r="H42" s="50">
        <f>IF('Schedule of Values'!I42="","",'Schedule of Values'!I42)</f>
        <v/>
      </c>
      <c r="I42" s="49">
        <f>IF('Schedule of Values'!J42="","",'Schedule of Values'!J42)</f>
        <v/>
      </c>
      <c r="J42" s="49">
        <f>IF('Schedule of Values'!S42="","",'Schedule of Values'!S42)</f>
        <v/>
      </c>
    </row>
    <row r="43">
      <c r="A43" s="48">
        <f>IF('Schedule of Values'!A43="","",'Schedule of Values'!A43)</f>
        <v/>
      </c>
      <c r="B43" s="48">
        <f>IF('Schedule of Values'!B43="","",'Schedule of Values'!B43)</f>
        <v/>
      </c>
      <c r="C43" s="49">
        <f>IF('Schedule of Values'!D43="","",'Schedule of Values'!D43)</f>
        <v/>
      </c>
      <c r="D43" s="49">
        <f>IF('Schedule of Values'!E43="","",'Schedule of Values'!E43)</f>
        <v/>
      </c>
      <c r="E43" s="49">
        <f>IF('Schedule of Values'!F43="","",'Schedule of Values'!F43)</f>
        <v/>
      </c>
      <c r="F43" s="49">
        <f>IF('Schedule of Values'!G43="","",'Schedule of Values'!G43)</f>
        <v/>
      </c>
      <c r="G43" s="49">
        <f>IF('Schedule of Values'!H43="","",'Schedule of Values'!H43)</f>
        <v/>
      </c>
      <c r="H43" s="50">
        <f>IF('Schedule of Values'!I43="","",'Schedule of Values'!I43)</f>
        <v/>
      </c>
      <c r="I43" s="49">
        <f>IF('Schedule of Values'!J43="","",'Schedule of Values'!J43)</f>
        <v/>
      </c>
      <c r="J43" s="49">
        <f>IF('Schedule of Values'!S43="","",'Schedule of Values'!S43)</f>
        <v/>
      </c>
    </row>
    <row r="44">
      <c r="A44" s="48">
        <f>IF('Schedule of Values'!A44="","",'Schedule of Values'!A44)</f>
        <v/>
      </c>
      <c r="B44" s="48">
        <f>IF('Schedule of Values'!B44="","",'Schedule of Values'!B44)</f>
        <v/>
      </c>
      <c r="C44" s="49">
        <f>IF('Schedule of Values'!D44="","",'Schedule of Values'!D44)</f>
        <v/>
      </c>
      <c r="D44" s="49">
        <f>IF('Schedule of Values'!E44="","",'Schedule of Values'!E44)</f>
        <v/>
      </c>
      <c r="E44" s="49">
        <f>IF('Schedule of Values'!F44="","",'Schedule of Values'!F44)</f>
        <v/>
      </c>
      <c r="F44" s="49">
        <f>IF('Schedule of Values'!G44="","",'Schedule of Values'!G44)</f>
        <v/>
      </c>
      <c r="G44" s="49">
        <f>IF('Schedule of Values'!H44="","",'Schedule of Values'!H44)</f>
        <v/>
      </c>
      <c r="H44" s="50">
        <f>IF('Schedule of Values'!I44="","",'Schedule of Values'!I44)</f>
        <v/>
      </c>
      <c r="I44" s="49">
        <f>IF('Schedule of Values'!J44="","",'Schedule of Values'!J44)</f>
        <v/>
      </c>
      <c r="J44" s="49">
        <f>IF('Schedule of Values'!S44="","",'Schedule of Values'!S44)</f>
        <v/>
      </c>
    </row>
    <row r="45">
      <c r="A45" s="48">
        <f>IF('Schedule of Values'!A45="","",'Schedule of Values'!A45)</f>
        <v/>
      </c>
      <c r="B45" s="48">
        <f>IF('Schedule of Values'!B45="","",'Schedule of Values'!B45)</f>
        <v/>
      </c>
      <c r="C45" s="49">
        <f>IF('Schedule of Values'!D45="","",'Schedule of Values'!D45)</f>
        <v/>
      </c>
      <c r="D45" s="49">
        <f>IF('Schedule of Values'!E45="","",'Schedule of Values'!E45)</f>
        <v/>
      </c>
      <c r="E45" s="49">
        <f>IF('Schedule of Values'!F45="","",'Schedule of Values'!F45)</f>
        <v/>
      </c>
      <c r="F45" s="49">
        <f>IF('Schedule of Values'!G45="","",'Schedule of Values'!G45)</f>
        <v/>
      </c>
      <c r="G45" s="49">
        <f>IF('Schedule of Values'!H45="","",'Schedule of Values'!H45)</f>
        <v/>
      </c>
      <c r="H45" s="50">
        <f>IF('Schedule of Values'!I45="","",'Schedule of Values'!I45)</f>
        <v/>
      </c>
      <c r="I45" s="49">
        <f>IF('Schedule of Values'!J45="","",'Schedule of Values'!J45)</f>
        <v/>
      </c>
      <c r="J45" s="49">
        <f>IF('Schedule of Values'!S45="","",'Schedule of Values'!S45)</f>
        <v/>
      </c>
    </row>
    <row r="46">
      <c r="A46" s="48">
        <f>IF('Schedule of Values'!A46="","",'Schedule of Values'!A46)</f>
        <v/>
      </c>
      <c r="B46" s="48">
        <f>IF('Schedule of Values'!B46="","",'Schedule of Values'!B46)</f>
        <v/>
      </c>
      <c r="C46" s="49">
        <f>IF('Schedule of Values'!D46="","",'Schedule of Values'!D46)</f>
        <v/>
      </c>
      <c r="D46" s="49">
        <f>IF('Schedule of Values'!E46="","",'Schedule of Values'!E46)</f>
        <v/>
      </c>
      <c r="E46" s="49">
        <f>IF('Schedule of Values'!F46="","",'Schedule of Values'!F46)</f>
        <v/>
      </c>
      <c r="F46" s="49">
        <f>IF('Schedule of Values'!G46="","",'Schedule of Values'!G46)</f>
        <v/>
      </c>
      <c r="G46" s="49">
        <f>IF('Schedule of Values'!H46="","",'Schedule of Values'!H46)</f>
        <v/>
      </c>
      <c r="H46" s="50">
        <f>IF('Schedule of Values'!I46="","",'Schedule of Values'!I46)</f>
        <v/>
      </c>
      <c r="I46" s="49">
        <f>IF('Schedule of Values'!J46="","",'Schedule of Values'!J46)</f>
        <v/>
      </c>
      <c r="J46" s="49">
        <f>IF('Schedule of Values'!S46="","",'Schedule of Values'!S46)</f>
        <v/>
      </c>
    </row>
    <row r="47">
      <c r="A47" s="34">
        <f>IF('Schedule of Values'!A47="","",'Schedule of Values'!A47)</f>
        <v/>
      </c>
      <c r="B47" s="34" t="inlineStr">
        <is>
          <t>SUBTOTAL — BASE CONTRACT</t>
        </is>
      </c>
      <c r="C47" s="35">
        <f>IF('Schedule of Values'!D47="","",'Schedule of Values'!D47)</f>
        <v/>
      </c>
      <c r="D47" s="35">
        <f>IF('Schedule of Values'!E47="","",'Schedule of Values'!E47)</f>
        <v/>
      </c>
      <c r="E47" s="35">
        <f>IF('Schedule of Values'!F47="","",'Schedule of Values'!F47)</f>
        <v/>
      </c>
      <c r="F47" s="35">
        <f>IF('Schedule of Values'!G47="","",'Schedule of Values'!G47)</f>
        <v/>
      </c>
      <c r="G47" s="35">
        <f>IF('Schedule of Values'!H47="","",'Schedule of Values'!H47)</f>
        <v/>
      </c>
      <c r="H47" s="36">
        <f>IF('Schedule of Values'!I47="","",'Schedule of Values'!I47)</f>
        <v/>
      </c>
      <c r="I47" s="35">
        <f>IF('Schedule of Values'!J47="","",'Schedule of Values'!J47)</f>
        <v/>
      </c>
      <c r="J47" s="35">
        <f>IF('Schedule of Values'!S47="","",'Schedule of Values'!S47)</f>
        <v/>
      </c>
    </row>
    <row r="49">
      <c r="A49" s="28" t="inlineStr">
        <is>
          <t>APPROVED CHANGE ORDERS</t>
        </is>
      </c>
      <c r="B49" s="30" t="n"/>
      <c r="C49" s="31" t="n"/>
      <c r="D49" s="31" t="n"/>
      <c r="E49" s="31" t="n"/>
      <c r="F49" s="31" t="n"/>
      <c r="G49" s="31" t="n"/>
      <c r="H49" s="31" t="n"/>
      <c r="I49" s="31" t="n"/>
      <c r="J49" s="31" t="n"/>
    </row>
    <row r="50">
      <c r="A50" s="48">
        <f>IF('Schedule of Values'!A50="","",'Schedule of Values'!A50)</f>
        <v/>
      </c>
      <c r="B50" s="48">
        <f>IF('Schedule of Values'!B50="","",'Schedule of Values'!B50)</f>
        <v/>
      </c>
      <c r="C50" s="49">
        <f>IF('Schedule of Values'!D50="","",'Schedule of Values'!D50)</f>
        <v/>
      </c>
      <c r="D50" s="49">
        <f>IF('Schedule of Values'!E50="","",'Schedule of Values'!E50)</f>
        <v/>
      </c>
      <c r="E50" s="49">
        <f>IF('Schedule of Values'!F50="","",'Schedule of Values'!F50)</f>
        <v/>
      </c>
      <c r="F50" s="49">
        <f>IF('Schedule of Values'!G50="","",'Schedule of Values'!G50)</f>
        <v/>
      </c>
      <c r="G50" s="49">
        <f>IF('Schedule of Values'!H50="","",'Schedule of Values'!H50)</f>
        <v/>
      </c>
      <c r="H50" s="50">
        <f>IF('Schedule of Values'!I50="","",'Schedule of Values'!I50)</f>
        <v/>
      </c>
      <c r="I50" s="49">
        <f>IF('Schedule of Values'!J50="","",'Schedule of Values'!J50)</f>
        <v/>
      </c>
      <c r="J50" s="49">
        <f>IF('Schedule of Values'!S50="","",'Schedule of Values'!S50)</f>
        <v/>
      </c>
    </row>
    <row r="51">
      <c r="A51" s="48">
        <f>IF('Schedule of Values'!A51="","",'Schedule of Values'!A51)</f>
        <v/>
      </c>
      <c r="B51" s="48">
        <f>IF('Schedule of Values'!B51="","",'Schedule of Values'!B51)</f>
        <v/>
      </c>
      <c r="C51" s="49">
        <f>IF('Schedule of Values'!D51="","",'Schedule of Values'!D51)</f>
        <v/>
      </c>
      <c r="D51" s="49">
        <f>IF('Schedule of Values'!E51="","",'Schedule of Values'!E51)</f>
        <v/>
      </c>
      <c r="E51" s="49">
        <f>IF('Schedule of Values'!F51="","",'Schedule of Values'!F51)</f>
        <v/>
      </c>
      <c r="F51" s="49">
        <f>IF('Schedule of Values'!G51="","",'Schedule of Values'!G51)</f>
        <v/>
      </c>
      <c r="G51" s="49">
        <f>IF('Schedule of Values'!H51="","",'Schedule of Values'!H51)</f>
        <v/>
      </c>
      <c r="H51" s="50">
        <f>IF('Schedule of Values'!I51="","",'Schedule of Values'!I51)</f>
        <v/>
      </c>
      <c r="I51" s="49">
        <f>IF('Schedule of Values'!J51="","",'Schedule of Values'!J51)</f>
        <v/>
      </c>
      <c r="J51" s="49">
        <f>IF('Schedule of Values'!S51="","",'Schedule of Values'!S51)</f>
        <v/>
      </c>
    </row>
    <row r="52">
      <c r="A52" s="48">
        <f>IF('Schedule of Values'!A52="","",'Schedule of Values'!A52)</f>
        <v/>
      </c>
      <c r="B52" s="48">
        <f>IF('Schedule of Values'!B52="","",'Schedule of Values'!B52)</f>
        <v/>
      </c>
      <c r="C52" s="49">
        <f>IF('Schedule of Values'!D52="","",'Schedule of Values'!D52)</f>
        <v/>
      </c>
      <c r="D52" s="49">
        <f>IF('Schedule of Values'!E52="","",'Schedule of Values'!E52)</f>
        <v/>
      </c>
      <c r="E52" s="49">
        <f>IF('Schedule of Values'!F52="","",'Schedule of Values'!F52)</f>
        <v/>
      </c>
      <c r="F52" s="49">
        <f>IF('Schedule of Values'!G52="","",'Schedule of Values'!G52)</f>
        <v/>
      </c>
      <c r="G52" s="49">
        <f>IF('Schedule of Values'!H52="","",'Schedule of Values'!H52)</f>
        <v/>
      </c>
      <c r="H52" s="50">
        <f>IF('Schedule of Values'!I52="","",'Schedule of Values'!I52)</f>
        <v/>
      </c>
      <c r="I52" s="49">
        <f>IF('Schedule of Values'!J52="","",'Schedule of Values'!J52)</f>
        <v/>
      </c>
      <c r="J52" s="49">
        <f>IF('Schedule of Values'!S52="","",'Schedule of Values'!S52)</f>
        <v/>
      </c>
    </row>
    <row r="53">
      <c r="A53" s="48">
        <f>IF('Schedule of Values'!A53="","",'Schedule of Values'!A53)</f>
        <v/>
      </c>
      <c r="B53" s="48">
        <f>IF('Schedule of Values'!B53="","",'Schedule of Values'!B53)</f>
        <v/>
      </c>
      <c r="C53" s="49">
        <f>IF('Schedule of Values'!D53="","",'Schedule of Values'!D53)</f>
        <v/>
      </c>
      <c r="D53" s="49">
        <f>IF('Schedule of Values'!E53="","",'Schedule of Values'!E53)</f>
        <v/>
      </c>
      <c r="E53" s="49">
        <f>IF('Schedule of Values'!F53="","",'Schedule of Values'!F53)</f>
        <v/>
      </c>
      <c r="F53" s="49">
        <f>IF('Schedule of Values'!G53="","",'Schedule of Values'!G53)</f>
        <v/>
      </c>
      <c r="G53" s="49">
        <f>IF('Schedule of Values'!H53="","",'Schedule of Values'!H53)</f>
        <v/>
      </c>
      <c r="H53" s="50">
        <f>IF('Schedule of Values'!I53="","",'Schedule of Values'!I53)</f>
        <v/>
      </c>
      <c r="I53" s="49">
        <f>IF('Schedule of Values'!J53="","",'Schedule of Values'!J53)</f>
        <v/>
      </c>
      <c r="J53" s="49">
        <f>IF('Schedule of Values'!S53="","",'Schedule of Values'!S53)</f>
        <v/>
      </c>
    </row>
    <row r="54">
      <c r="A54" s="48">
        <f>IF('Schedule of Values'!A54="","",'Schedule of Values'!A54)</f>
        <v/>
      </c>
      <c r="B54" s="48">
        <f>IF('Schedule of Values'!B54="","",'Schedule of Values'!B54)</f>
        <v/>
      </c>
      <c r="C54" s="49">
        <f>IF('Schedule of Values'!D54="","",'Schedule of Values'!D54)</f>
        <v/>
      </c>
      <c r="D54" s="49">
        <f>IF('Schedule of Values'!E54="","",'Schedule of Values'!E54)</f>
        <v/>
      </c>
      <c r="E54" s="49">
        <f>IF('Schedule of Values'!F54="","",'Schedule of Values'!F54)</f>
        <v/>
      </c>
      <c r="F54" s="49">
        <f>IF('Schedule of Values'!G54="","",'Schedule of Values'!G54)</f>
        <v/>
      </c>
      <c r="G54" s="49">
        <f>IF('Schedule of Values'!H54="","",'Schedule of Values'!H54)</f>
        <v/>
      </c>
      <c r="H54" s="50">
        <f>IF('Schedule of Values'!I54="","",'Schedule of Values'!I54)</f>
        <v/>
      </c>
      <c r="I54" s="49">
        <f>IF('Schedule of Values'!J54="","",'Schedule of Values'!J54)</f>
        <v/>
      </c>
      <c r="J54" s="49">
        <f>IF('Schedule of Values'!S54="","",'Schedule of Values'!S54)</f>
        <v/>
      </c>
    </row>
    <row r="55">
      <c r="A55" s="48">
        <f>IF('Schedule of Values'!A55="","",'Schedule of Values'!A55)</f>
        <v/>
      </c>
      <c r="B55" s="48">
        <f>IF('Schedule of Values'!B55="","",'Schedule of Values'!B55)</f>
        <v/>
      </c>
      <c r="C55" s="49">
        <f>IF('Schedule of Values'!D55="","",'Schedule of Values'!D55)</f>
        <v/>
      </c>
      <c r="D55" s="49">
        <f>IF('Schedule of Values'!E55="","",'Schedule of Values'!E55)</f>
        <v/>
      </c>
      <c r="E55" s="49">
        <f>IF('Schedule of Values'!F55="","",'Schedule of Values'!F55)</f>
        <v/>
      </c>
      <c r="F55" s="49">
        <f>IF('Schedule of Values'!G55="","",'Schedule of Values'!G55)</f>
        <v/>
      </c>
      <c r="G55" s="49">
        <f>IF('Schedule of Values'!H55="","",'Schedule of Values'!H55)</f>
        <v/>
      </c>
      <c r="H55" s="50">
        <f>IF('Schedule of Values'!I55="","",'Schedule of Values'!I55)</f>
        <v/>
      </c>
      <c r="I55" s="49">
        <f>IF('Schedule of Values'!J55="","",'Schedule of Values'!J55)</f>
        <v/>
      </c>
      <c r="J55" s="49">
        <f>IF('Schedule of Values'!S55="","",'Schedule of Values'!S55)</f>
        <v/>
      </c>
    </row>
    <row r="56">
      <c r="A56" s="48">
        <f>IF('Schedule of Values'!A56="","",'Schedule of Values'!A56)</f>
        <v/>
      </c>
      <c r="B56" s="48">
        <f>IF('Schedule of Values'!B56="","",'Schedule of Values'!B56)</f>
        <v/>
      </c>
      <c r="C56" s="49">
        <f>IF('Schedule of Values'!D56="","",'Schedule of Values'!D56)</f>
        <v/>
      </c>
      <c r="D56" s="49">
        <f>IF('Schedule of Values'!E56="","",'Schedule of Values'!E56)</f>
        <v/>
      </c>
      <c r="E56" s="49">
        <f>IF('Schedule of Values'!F56="","",'Schedule of Values'!F56)</f>
        <v/>
      </c>
      <c r="F56" s="49">
        <f>IF('Schedule of Values'!G56="","",'Schedule of Values'!G56)</f>
        <v/>
      </c>
      <c r="G56" s="49">
        <f>IF('Schedule of Values'!H56="","",'Schedule of Values'!H56)</f>
        <v/>
      </c>
      <c r="H56" s="50">
        <f>IF('Schedule of Values'!I56="","",'Schedule of Values'!I56)</f>
        <v/>
      </c>
      <c r="I56" s="49">
        <f>IF('Schedule of Values'!J56="","",'Schedule of Values'!J56)</f>
        <v/>
      </c>
      <c r="J56" s="49">
        <f>IF('Schedule of Values'!S56="","",'Schedule of Values'!S56)</f>
        <v/>
      </c>
    </row>
    <row r="57">
      <c r="A57" s="48">
        <f>IF('Schedule of Values'!A57="","",'Schedule of Values'!A57)</f>
        <v/>
      </c>
      <c r="B57" s="48">
        <f>IF('Schedule of Values'!B57="","",'Schedule of Values'!B57)</f>
        <v/>
      </c>
      <c r="C57" s="49">
        <f>IF('Schedule of Values'!D57="","",'Schedule of Values'!D57)</f>
        <v/>
      </c>
      <c r="D57" s="49">
        <f>IF('Schedule of Values'!E57="","",'Schedule of Values'!E57)</f>
        <v/>
      </c>
      <c r="E57" s="49">
        <f>IF('Schedule of Values'!F57="","",'Schedule of Values'!F57)</f>
        <v/>
      </c>
      <c r="F57" s="49">
        <f>IF('Schedule of Values'!G57="","",'Schedule of Values'!G57)</f>
        <v/>
      </c>
      <c r="G57" s="49">
        <f>IF('Schedule of Values'!H57="","",'Schedule of Values'!H57)</f>
        <v/>
      </c>
      <c r="H57" s="50">
        <f>IF('Schedule of Values'!I57="","",'Schedule of Values'!I57)</f>
        <v/>
      </c>
      <c r="I57" s="49">
        <f>IF('Schedule of Values'!J57="","",'Schedule of Values'!J57)</f>
        <v/>
      </c>
      <c r="J57" s="49">
        <f>IF('Schedule of Values'!S57="","",'Schedule of Values'!S57)</f>
        <v/>
      </c>
    </row>
    <row r="58">
      <c r="A58" s="48">
        <f>IF('Schedule of Values'!A58="","",'Schedule of Values'!A58)</f>
        <v/>
      </c>
      <c r="B58" s="48">
        <f>IF('Schedule of Values'!B58="","",'Schedule of Values'!B58)</f>
        <v/>
      </c>
      <c r="C58" s="49">
        <f>IF('Schedule of Values'!D58="","",'Schedule of Values'!D58)</f>
        <v/>
      </c>
      <c r="D58" s="49">
        <f>IF('Schedule of Values'!E58="","",'Schedule of Values'!E58)</f>
        <v/>
      </c>
      <c r="E58" s="49">
        <f>IF('Schedule of Values'!F58="","",'Schedule of Values'!F58)</f>
        <v/>
      </c>
      <c r="F58" s="49">
        <f>IF('Schedule of Values'!G58="","",'Schedule of Values'!G58)</f>
        <v/>
      </c>
      <c r="G58" s="49">
        <f>IF('Schedule of Values'!H58="","",'Schedule of Values'!H58)</f>
        <v/>
      </c>
      <c r="H58" s="50">
        <f>IF('Schedule of Values'!I58="","",'Schedule of Values'!I58)</f>
        <v/>
      </c>
      <c r="I58" s="49">
        <f>IF('Schedule of Values'!J58="","",'Schedule of Values'!J58)</f>
        <v/>
      </c>
      <c r="J58" s="49">
        <f>IF('Schedule of Values'!S58="","",'Schedule of Values'!S58)</f>
        <v/>
      </c>
    </row>
    <row r="59">
      <c r="A59" s="48">
        <f>IF('Schedule of Values'!A59="","",'Schedule of Values'!A59)</f>
        <v/>
      </c>
      <c r="B59" s="48">
        <f>IF('Schedule of Values'!B59="","",'Schedule of Values'!B59)</f>
        <v/>
      </c>
      <c r="C59" s="49">
        <f>IF('Schedule of Values'!D59="","",'Schedule of Values'!D59)</f>
        <v/>
      </c>
      <c r="D59" s="49">
        <f>IF('Schedule of Values'!E59="","",'Schedule of Values'!E59)</f>
        <v/>
      </c>
      <c r="E59" s="49">
        <f>IF('Schedule of Values'!F59="","",'Schedule of Values'!F59)</f>
        <v/>
      </c>
      <c r="F59" s="49">
        <f>IF('Schedule of Values'!G59="","",'Schedule of Values'!G59)</f>
        <v/>
      </c>
      <c r="G59" s="49">
        <f>IF('Schedule of Values'!H59="","",'Schedule of Values'!H59)</f>
        <v/>
      </c>
      <c r="H59" s="50">
        <f>IF('Schedule of Values'!I59="","",'Schedule of Values'!I59)</f>
        <v/>
      </c>
      <c r="I59" s="49">
        <f>IF('Schedule of Values'!J59="","",'Schedule of Values'!J59)</f>
        <v/>
      </c>
      <c r="J59" s="49">
        <f>IF('Schedule of Values'!S59="","",'Schedule of Values'!S59)</f>
        <v/>
      </c>
    </row>
    <row r="60">
      <c r="A60" s="48">
        <f>IF('Schedule of Values'!A60="","",'Schedule of Values'!A60)</f>
        <v/>
      </c>
      <c r="B60" s="48">
        <f>IF('Schedule of Values'!B60="","",'Schedule of Values'!B60)</f>
        <v/>
      </c>
      <c r="C60" s="49">
        <f>IF('Schedule of Values'!D60="","",'Schedule of Values'!D60)</f>
        <v/>
      </c>
      <c r="D60" s="49">
        <f>IF('Schedule of Values'!E60="","",'Schedule of Values'!E60)</f>
        <v/>
      </c>
      <c r="E60" s="49">
        <f>IF('Schedule of Values'!F60="","",'Schedule of Values'!F60)</f>
        <v/>
      </c>
      <c r="F60" s="49">
        <f>IF('Schedule of Values'!G60="","",'Schedule of Values'!G60)</f>
        <v/>
      </c>
      <c r="G60" s="49">
        <f>IF('Schedule of Values'!H60="","",'Schedule of Values'!H60)</f>
        <v/>
      </c>
      <c r="H60" s="50">
        <f>IF('Schedule of Values'!I60="","",'Schedule of Values'!I60)</f>
        <v/>
      </c>
      <c r="I60" s="49">
        <f>IF('Schedule of Values'!J60="","",'Schedule of Values'!J60)</f>
        <v/>
      </c>
      <c r="J60" s="49">
        <f>IF('Schedule of Values'!S60="","",'Schedule of Values'!S60)</f>
        <v/>
      </c>
    </row>
    <row r="61">
      <c r="A61" s="48">
        <f>IF('Schedule of Values'!A61="","",'Schedule of Values'!A61)</f>
        <v/>
      </c>
      <c r="B61" s="48">
        <f>IF('Schedule of Values'!B61="","",'Schedule of Values'!B61)</f>
        <v/>
      </c>
      <c r="C61" s="49">
        <f>IF('Schedule of Values'!D61="","",'Schedule of Values'!D61)</f>
        <v/>
      </c>
      <c r="D61" s="49">
        <f>IF('Schedule of Values'!E61="","",'Schedule of Values'!E61)</f>
        <v/>
      </c>
      <c r="E61" s="49">
        <f>IF('Schedule of Values'!F61="","",'Schedule of Values'!F61)</f>
        <v/>
      </c>
      <c r="F61" s="49">
        <f>IF('Schedule of Values'!G61="","",'Schedule of Values'!G61)</f>
        <v/>
      </c>
      <c r="G61" s="49">
        <f>IF('Schedule of Values'!H61="","",'Schedule of Values'!H61)</f>
        <v/>
      </c>
      <c r="H61" s="50">
        <f>IF('Schedule of Values'!I61="","",'Schedule of Values'!I61)</f>
        <v/>
      </c>
      <c r="I61" s="49">
        <f>IF('Schedule of Values'!J61="","",'Schedule of Values'!J61)</f>
        <v/>
      </c>
      <c r="J61" s="49">
        <f>IF('Schedule of Values'!S61="","",'Schedule of Values'!S61)</f>
        <v/>
      </c>
    </row>
    <row r="62">
      <c r="A62" s="48">
        <f>IF('Schedule of Values'!A62="","",'Schedule of Values'!A62)</f>
        <v/>
      </c>
      <c r="B62" s="48">
        <f>IF('Schedule of Values'!B62="","",'Schedule of Values'!B62)</f>
        <v/>
      </c>
      <c r="C62" s="49">
        <f>IF('Schedule of Values'!D62="","",'Schedule of Values'!D62)</f>
        <v/>
      </c>
      <c r="D62" s="49">
        <f>IF('Schedule of Values'!E62="","",'Schedule of Values'!E62)</f>
        <v/>
      </c>
      <c r="E62" s="49">
        <f>IF('Schedule of Values'!F62="","",'Schedule of Values'!F62)</f>
        <v/>
      </c>
      <c r="F62" s="49">
        <f>IF('Schedule of Values'!G62="","",'Schedule of Values'!G62)</f>
        <v/>
      </c>
      <c r="G62" s="49">
        <f>IF('Schedule of Values'!H62="","",'Schedule of Values'!H62)</f>
        <v/>
      </c>
      <c r="H62" s="50">
        <f>IF('Schedule of Values'!I62="","",'Schedule of Values'!I62)</f>
        <v/>
      </c>
      <c r="I62" s="49">
        <f>IF('Schedule of Values'!J62="","",'Schedule of Values'!J62)</f>
        <v/>
      </c>
      <c r="J62" s="49">
        <f>IF('Schedule of Values'!S62="","",'Schedule of Values'!S62)</f>
        <v/>
      </c>
    </row>
    <row r="63">
      <c r="A63" s="48">
        <f>IF('Schedule of Values'!A63="","",'Schedule of Values'!A63)</f>
        <v/>
      </c>
      <c r="B63" s="48">
        <f>IF('Schedule of Values'!B63="","",'Schedule of Values'!B63)</f>
        <v/>
      </c>
      <c r="C63" s="49">
        <f>IF('Schedule of Values'!D63="","",'Schedule of Values'!D63)</f>
        <v/>
      </c>
      <c r="D63" s="49">
        <f>IF('Schedule of Values'!E63="","",'Schedule of Values'!E63)</f>
        <v/>
      </c>
      <c r="E63" s="49">
        <f>IF('Schedule of Values'!F63="","",'Schedule of Values'!F63)</f>
        <v/>
      </c>
      <c r="F63" s="49">
        <f>IF('Schedule of Values'!G63="","",'Schedule of Values'!G63)</f>
        <v/>
      </c>
      <c r="G63" s="49">
        <f>IF('Schedule of Values'!H63="","",'Schedule of Values'!H63)</f>
        <v/>
      </c>
      <c r="H63" s="50">
        <f>IF('Schedule of Values'!I63="","",'Schedule of Values'!I63)</f>
        <v/>
      </c>
      <c r="I63" s="49">
        <f>IF('Schedule of Values'!J63="","",'Schedule of Values'!J63)</f>
        <v/>
      </c>
      <c r="J63" s="49">
        <f>IF('Schedule of Values'!S63="","",'Schedule of Values'!S63)</f>
        <v/>
      </c>
    </row>
    <row r="64">
      <c r="A64" s="48">
        <f>IF('Schedule of Values'!A64="","",'Schedule of Values'!A64)</f>
        <v/>
      </c>
      <c r="B64" s="48">
        <f>IF('Schedule of Values'!B64="","",'Schedule of Values'!B64)</f>
        <v/>
      </c>
      <c r="C64" s="49">
        <f>IF('Schedule of Values'!D64="","",'Schedule of Values'!D64)</f>
        <v/>
      </c>
      <c r="D64" s="49">
        <f>IF('Schedule of Values'!E64="","",'Schedule of Values'!E64)</f>
        <v/>
      </c>
      <c r="E64" s="49">
        <f>IF('Schedule of Values'!F64="","",'Schedule of Values'!F64)</f>
        <v/>
      </c>
      <c r="F64" s="49">
        <f>IF('Schedule of Values'!G64="","",'Schedule of Values'!G64)</f>
        <v/>
      </c>
      <c r="G64" s="49">
        <f>IF('Schedule of Values'!H64="","",'Schedule of Values'!H64)</f>
        <v/>
      </c>
      <c r="H64" s="50">
        <f>IF('Schedule of Values'!I64="","",'Schedule of Values'!I64)</f>
        <v/>
      </c>
      <c r="I64" s="49">
        <f>IF('Schedule of Values'!J64="","",'Schedule of Values'!J64)</f>
        <v/>
      </c>
      <c r="J64" s="49">
        <f>IF('Schedule of Values'!S64="","",'Schedule of Values'!S64)</f>
        <v/>
      </c>
    </row>
    <row r="65">
      <c r="A65" s="34">
        <f>IF('Schedule of Values'!A65="","",'Schedule of Values'!A65)</f>
        <v/>
      </c>
      <c r="B65" s="34" t="inlineStr">
        <is>
          <t>SUBTOTAL — APPROVED CHANGE ORDERS</t>
        </is>
      </c>
      <c r="C65" s="35">
        <f>IF('Schedule of Values'!D65="","",'Schedule of Values'!D65)</f>
        <v/>
      </c>
      <c r="D65" s="35">
        <f>IF('Schedule of Values'!E65="","",'Schedule of Values'!E65)</f>
        <v/>
      </c>
      <c r="E65" s="35">
        <f>IF('Schedule of Values'!F65="","",'Schedule of Values'!F65)</f>
        <v/>
      </c>
      <c r="F65" s="35">
        <f>IF('Schedule of Values'!G65="","",'Schedule of Values'!G65)</f>
        <v/>
      </c>
      <c r="G65" s="35">
        <f>IF('Schedule of Values'!H65="","",'Schedule of Values'!H65)</f>
        <v/>
      </c>
      <c r="H65" s="36">
        <f>IF('Schedule of Values'!I65="","",'Schedule of Values'!I65)</f>
        <v/>
      </c>
      <c r="I65" s="35">
        <f>IF('Schedule of Values'!J65="","",'Schedule of Values'!J65)</f>
        <v/>
      </c>
      <c r="J65" s="35">
        <f>IF('Schedule of Values'!S65="","",'Schedule of Values'!S65)</f>
        <v/>
      </c>
    </row>
    <row r="67">
      <c r="A67" s="51">
        <f>IF('Schedule of Values'!A67="","",'Schedule of Values'!A67)</f>
        <v/>
      </c>
      <c r="B67" s="37" t="inlineStr">
        <is>
          <t>GRAND TOTAL</t>
        </is>
      </c>
      <c r="C67" s="38">
        <f>IF('Schedule of Values'!D67="","",'Schedule of Values'!D67)</f>
        <v/>
      </c>
      <c r="D67" s="38">
        <f>IF('Schedule of Values'!E67="","",'Schedule of Values'!E67)</f>
        <v/>
      </c>
      <c r="E67" s="38">
        <f>IF('Schedule of Values'!F67="","",'Schedule of Values'!F67)</f>
        <v/>
      </c>
      <c r="F67" s="38">
        <f>IF('Schedule of Values'!G67="","",'Schedule of Values'!G67)</f>
        <v/>
      </c>
      <c r="G67" s="38">
        <f>IF('Schedule of Values'!H67="","",'Schedule of Values'!H67)</f>
        <v/>
      </c>
      <c r="H67" s="39">
        <f>IF('Schedule of Values'!I67="","",'Schedule of Values'!I67)</f>
        <v/>
      </c>
      <c r="I67" s="38">
        <f>IF('Schedule of Values'!J67="","",'Schedule of Values'!J67)</f>
        <v/>
      </c>
      <c r="J67" s="38">
        <f>IF('Schedule of Values'!S67="","",'Schedule of Values'!S67)</f>
        <v/>
      </c>
    </row>
    <row r="69">
      <c r="A69" s="40" t="inlineStr">
        <is>
          <t>The RETAINAGE column shows total retainage held (completed work + stored materials, net of releases) — column I, "Retainage (if variable rate)". The 5a / 5b breakdown behind it is on the Schedule of Values sheet, columns K through S.</t>
        </is>
      </c>
    </row>
    <row r="70"/>
  </sheetData>
  <mergeCells count="22">
    <mergeCell ref="F4:G4"/>
    <mergeCell ref="H9:H10"/>
    <mergeCell ref="J9:J10"/>
    <mergeCell ref="A11:B11"/>
    <mergeCell ref="A49:B49"/>
    <mergeCell ref="F6:G6"/>
    <mergeCell ref="A69:J70"/>
    <mergeCell ref="H4:I4"/>
    <mergeCell ref="G8:H8"/>
    <mergeCell ref="F7:G7"/>
    <mergeCell ref="C9:C10"/>
    <mergeCell ref="H6:I6"/>
    <mergeCell ref="F5:G5"/>
    <mergeCell ref="B9:B10"/>
    <mergeCell ref="F9:F10"/>
    <mergeCell ref="H7:I7"/>
    <mergeCell ref="A4:D5"/>
    <mergeCell ref="D9:E9"/>
    <mergeCell ref="G9:G10"/>
    <mergeCell ref="I9:I10"/>
    <mergeCell ref="A9:A10"/>
    <mergeCell ref="H5:I5"/>
  </mergeCells>
  <pageMargins left="0.75" right="0.75" top="1" bottom="1" header="0.5" footer="0.5"/>
  <pageSetup orientation="landscape" fitToWidth="1"/>
  <headerFooter>
    <oddHeader>&amp;R&amp;8 &amp;K9C9998Alleato Group  ·  Form CS</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I60"/>
  <sheetViews>
    <sheetView showGridLines="0" workbookViewId="0">
      <selection activeCell="A1" sqref="A1"/>
    </sheetView>
  </sheetViews>
  <sheetFormatPr baseColWidth="8" defaultRowHeight="15"/>
  <cols>
    <col width="3" customWidth="1" min="1" max="1"/>
    <col width="6" customWidth="1" min="2" max="2"/>
    <col width="46" customWidth="1" min="3" max="3"/>
    <col width="11" customWidth="1" min="4" max="4"/>
    <col width="18" customWidth="1" min="5" max="5"/>
    <col width="4" customWidth="1" min="6" max="6"/>
    <col width="24" customWidth="1" min="7" max="7"/>
    <col width="17" customWidth="1" min="8" max="8"/>
    <col width="17" customWidth="1" min="9" max="9"/>
  </cols>
  <sheetData>
    <row r="1" ht="24" customHeight="1">
      <c r="B1" s="2" t="inlineStr">
        <is>
          <t>SUBCONTRACTOR APPLICATION FOR PAYMENT</t>
        </is>
      </c>
    </row>
    <row r="2" ht="16" customHeight="1">
      <c r="B2" s="8" t="inlineStr">
        <is>
          <t>Form APP  ·  Subcontract / Commitment  ·  Subcontractor to Contractor</t>
        </is>
      </c>
    </row>
    <row r="3" ht="3.5" customHeight="1">
      <c r="A3" s="1" t="n"/>
      <c r="B3" s="1" t="n"/>
      <c r="C3" s="1" t="n"/>
      <c r="D3" s="1" t="n"/>
      <c r="E3" s="1" t="n"/>
      <c r="F3" s="1" t="n"/>
      <c r="G3" s="1" t="n"/>
      <c r="H3" s="1" t="n"/>
      <c r="I3" s="1" t="n"/>
    </row>
    <row r="4">
      <c r="B4" s="23" t="inlineStr">
        <is>
          <t>TO CONTRACTOR:</t>
        </is>
      </c>
      <c r="D4" s="45">
        <f>IF(PayerName="","",PayerName)</f>
        <v/>
      </c>
      <c r="E4" s="43" t="n"/>
      <c r="F4" s="41" t="inlineStr">
        <is>
          <t>APPLICATION NO.:</t>
        </is>
      </c>
      <c r="H4" s="42">
        <f>IF(AppNo="","",AppNo)</f>
        <v/>
      </c>
      <c r="I4" s="43" t="n"/>
    </row>
    <row r="5">
      <c r="B5" s="23" t="inlineStr"/>
      <c r="D5" s="45">
        <f>IF(PayerAddress="","",PayerAddress)</f>
        <v/>
      </c>
      <c r="E5" s="43" t="n"/>
      <c r="F5" s="41" t="inlineStr">
        <is>
          <t>APPLICATION DATE:</t>
        </is>
      </c>
      <c r="H5" s="44">
        <f>IF(AppDate="","",AppDate)</f>
        <v/>
      </c>
      <c r="I5" s="43" t="n"/>
    </row>
    <row r="6">
      <c r="B6" s="23" t="inlineStr">
        <is>
          <t>FROM SUBCONTRACTOR:</t>
        </is>
      </c>
      <c r="D6" s="45">
        <f>IF(PayeeName="","",PayeeName)</f>
        <v/>
      </c>
      <c r="E6" s="43" t="n"/>
      <c r="F6" s="41" t="inlineStr">
        <is>
          <t>PERIOD FROM:</t>
        </is>
      </c>
      <c r="H6" s="44">
        <f>IF(PeriodFrom="","",PeriodFrom)</f>
        <v/>
      </c>
      <c r="I6" s="43" t="n"/>
    </row>
    <row r="7">
      <c r="B7" s="23" t="inlineStr"/>
      <c r="D7" s="45">
        <f>IF(PayeeAddress="","",PayeeAddress)</f>
        <v/>
      </c>
      <c r="E7" s="43" t="n"/>
      <c r="F7" s="41" t="inlineStr">
        <is>
          <t>PERIOD TO:</t>
        </is>
      </c>
      <c r="H7" s="44">
        <f>IF(PeriodTo="","",PeriodTo)</f>
        <v/>
      </c>
      <c r="I7" s="43" t="n"/>
    </row>
    <row r="8">
      <c r="B8" s="23" t="inlineStr">
        <is>
          <t>PROJECT:</t>
        </is>
      </c>
      <c r="D8" s="45">
        <f>IF(PrjName="","",PrjName)</f>
        <v/>
      </c>
      <c r="E8" s="43" t="n"/>
      <c r="F8" s="41" t="inlineStr">
        <is>
          <t>SUBCONTRACT NO.:</t>
        </is>
      </c>
      <c r="H8" s="45">
        <f>IF(ContractNo="","",ContractNo)</f>
        <v/>
      </c>
      <c r="I8" s="43" t="n"/>
    </row>
    <row r="9">
      <c r="B9" s="23" t="inlineStr">
        <is>
          <t>PROJECT NO.:</t>
        </is>
      </c>
      <c r="D9" s="45">
        <f>IF(PrjNumber="","",PrjNumber)</f>
        <v/>
      </c>
      <c r="E9" s="43" t="n"/>
      <c r="F9" s="41" t="inlineStr">
        <is>
          <t>SUBCONTRACT DATE:</t>
        </is>
      </c>
      <c r="H9" s="44">
        <f>IF(ContractDate="","",ContractDate)</f>
        <v/>
      </c>
      <c r="I9" s="43" t="n"/>
    </row>
    <row r="10">
      <c r="B10" s="23" t="inlineStr">
        <is>
          <t>VIA PROJECT MANAGER:</t>
        </is>
      </c>
      <c r="D10" s="45">
        <f>IF(ThirdName="","",ThirdName)</f>
        <v/>
      </c>
      <c r="E10" s="43" t="n"/>
      <c r="F10" s="41" t="inlineStr">
        <is>
          <t>ALLEATO PROJECT ID:</t>
        </is>
      </c>
      <c r="H10" s="45">
        <f>IF(PrjId="","",PrjId)</f>
        <v/>
      </c>
      <c r="I10" s="43" t="n"/>
    </row>
    <row r="12">
      <c r="B12" s="4" t="inlineStr">
        <is>
          <t>SUBCONTRACTOR’S APPLICATION FOR PAYMENT</t>
        </is>
      </c>
      <c r="G12" s="4" t="inlineStr">
        <is>
          <t>CHANGE ORDER SUMMARY</t>
        </is>
      </c>
    </row>
    <row r="13">
      <c r="B13" s="7" t="inlineStr">
        <is>
          <t>Application is made for payment, as shown below, in connection with the Contract.</t>
        </is>
      </c>
    </row>
    <row r="14">
      <c r="H14" s="52" t="inlineStr">
        <is>
          <t>ADDITIONS</t>
        </is>
      </c>
      <c r="I14" s="52" t="inlineStr">
        <is>
          <t>DEDUCTIONS</t>
        </is>
      </c>
    </row>
    <row r="15" ht="28" customHeight="1">
      <c r="B15" s="53" t="inlineStr">
        <is>
          <t>1</t>
        </is>
      </c>
      <c r="C15" s="24" t="inlineStr">
        <is>
          <t>ORIGINAL CONTRACT SUM</t>
        </is>
      </c>
      <c r="E15" s="19">
        <f>OrigContractSum</f>
        <v/>
      </c>
      <c r="G15" s="54" t="inlineStr">
        <is>
          <t>Total changes approved in previous applications by Contractor</t>
        </is>
      </c>
      <c r="H15" s="19">
        <f>CO_PrevAdd</f>
        <v/>
      </c>
      <c r="I15" s="19">
        <f>CO_PrevDed</f>
        <v/>
      </c>
    </row>
    <row r="16" ht="28" customHeight="1">
      <c r="B16" s="53" t="inlineStr">
        <is>
          <t>2</t>
        </is>
      </c>
      <c r="C16" s="24" t="inlineStr">
        <is>
          <t>Net change by Change Orders</t>
        </is>
      </c>
      <c r="E16" s="19">
        <f>CO_NetTotal</f>
        <v/>
      </c>
      <c r="G16" s="54" t="inlineStr">
        <is>
          <t>Total approved this application</t>
        </is>
      </c>
      <c r="H16" s="19">
        <f>CO_ThisAdd</f>
        <v/>
      </c>
      <c r="I16" s="19">
        <f>CO_ThisDed</f>
        <v/>
      </c>
    </row>
    <row r="17">
      <c r="B17" s="53" t="inlineStr">
        <is>
          <t>3</t>
        </is>
      </c>
      <c r="C17" s="23" t="inlineStr">
        <is>
          <t>CONTRACT SUM TO DATE  (Line 1 ± Line 2)</t>
        </is>
      </c>
      <c r="E17" s="55">
        <f>N(E15)+N(E16)</f>
        <v/>
      </c>
      <c r="G17" s="23" t="inlineStr">
        <is>
          <t>TOTALS</t>
        </is>
      </c>
      <c r="H17" s="56">
        <f>SUM(H15:H16)</f>
        <v/>
      </c>
      <c r="I17" s="56">
        <f>SUM(I15:I16)</f>
        <v/>
      </c>
    </row>
    <row r="18">
      <c r="B18" s="53" t="inlineStr">
        <is>
          <t>4</t>
        </is>
      </c>
      <c r="C18" s="23" t="inlineStr">
        <is>
          <t>TOTAL COMPLETED AND STORED TO DATE  (Continuation Sheet, column G)</t>
        </is>
      </c>
      <c r="E18" s="55">
        <f>SOV_TotalCompleted</f>
        <v/>
      </c>
      <c r="G18" s="23" t="inlineStr">
        <is>
          <t>NET CHANGE BY CHANGE ORDERS</t>
        </is>
      </c>
      <c r="H18" s="57">
        <f>N(H17)-N(I17)</f>
        <v/>
      </c>
      <c r="I18" s="58" t="n"/>
    </row>
    <row r="19">
      <c r="B19" s="59" t="inlineStr">
        <is>
          <t>5</t>
        </is>
      </c>
      <c r="C19" s="60" t="inlineStr">
        <is>
          <t>RETAINAGE:</t>
        </is>
      </c>
      <c r="D19" s="61" t="n"/>
      <c r="E19" s="61" t="n"/>
    </row>
    <row r="20">
      <c r="B20" s="53" t="inlineStr">
        <is>
          <t>5a</t>
        </is>
      </c>
      <c r="C20" s="62" t="inlineStr">
        <is>
          <t>of Completed Work  (SOV prior + this period − released)</t>
        </is>
      </c>
      <c r="D20" s="63">
        <f>RetPctWork</f>
        <v/>
      </c>
      <c r="E20" s="19">
        <f>SOV_RetWorkPrior+SOV_RetWorkThis-SOV_RetWorkReleased</f>
        <v/>
      </c>
      <c r="G20" s="64">
        <f>IF(ROUND(N(H18)-N(E16),2)=0,"Net change ties to Line 2.","WARNING: Line 2 does not tie to the change order summary.")</f>
        <v/>
      </c>
    </row>
    <row r="21">
      <c r="B21" s="53" t="inlineStr">
        <is>
          <t>5b</t>
        </is>
      </c>
      <c r="C21" s="62" t="inlineStr">
        <is>
          <t>of Stored Material  (SOV prior + this period − released)</t>
        </is>
      </c>
      <c r="D21" s="63">
        <f>RetPctMatl</f>
        <v/>
      </c>
      <c r="E21" s="19">
        <f>SOV_RetMatlPrior+SOV_RetMatlThis-SOV_RetMatlReleased</f>
        <v/>
      </c>
    </row>
    <row r="22">
      <c r="B22" s="53" t="inlineStr"/>
      <c r="C22" s="23" t="inlineStr">
        <is>
          <t>Total Retainage  (Lines 5a + 5b = SOV column S)</t>
        </is>
      </c>
      <c r="E22" s="55">
        <f>SOV_RetTotal</f>
        <v/>
      </c>
      <c r="G22" s="64">
        <f>IF(ROUND(N(E20)+N(E21)-N(E22),2)=0,"Retainage 5a + 5b ties to SOV column S.","WARNING: retainage does not foot to SOV column S.")</f>
        <v/>
      </c>
    </row>
    <row r="23">
      <c r="B23" s="53" t="inlineStr">
        <is>
          <t>6</t>
        </is>
      </c>
      <c r="C23" s="23" t="inlineStr">
        <is>
          <t>TOTAL EARNED LESS RETAINAGE  (Line 4 less Line 5 Total)</t>
        </is>
      </c>
      <c r="E23" s="55">
        <f>N(E18)-N(E22)</f>
        <v/>
      </c>
      <c r="G23" s="23" t="inlineStr">
        <is>
          <t>PERCENT COMPLETE</t>
        </is>
      </c>
      <c r="I23" s="65">
        <f>IF(N(E17)=0,"",N(E18)/N(E17)*100)</f>
        <v/>
      </c>
    </row>
    <row r="24">
      <c r="B24" s="53" t="inlineStr">
        <is>
          <t>7</t>
        </is>
      </c>
      <c r="C24" s="24" t="inlineStr">
        <is>
          <t>LESS PREVIOUS CERTIFICATES FOR PAYMENT  (Line 6 from prior Certificate)</t>
        </is>
      </c>
      <c r="E24" s="15" t="n">
        <v>0</v>
      </c>
      <c r="G24" s="23" t="inlineStr">
        <is>
          <t>RETAINAGE HELD TO DATE</t>
        </is>
      </c>
      <c r="I24" s="55">
        <f>N(E22)</f>
        <v/>
      </c>
    </row>
    <row r="25">
      <c r="B25" s="53" t="inlineStr">
        <is>
          <t>8</t>
        </is>
      </c>
      <c r="C25" s="66" t="inlineStr">
        <is>
          <t>CURRENT PAYMENT DUE</t>
        </is>
      </c>
      <c r="E25" s="67">
        <f>N(E23)-N(E24)</f>
        <v/>
      </c>
    </row>
    <row r="26">
      <c r="B26" s="53" t="inlineStr">
        <is>
          <t>9</t>
        </is>
      </c>
      <c r="C26" s="23" t="inlineStr">
        <is>
          <t>BALANCE TO FINISH, INCLUDING RETAINAGE  (Line 3 less Line 6)</t>
        </is>
      </c>
      <c r="E26" s="55">
        <f>N(E17)-N(E23)</f>
        <v/>
      </c>
    </row>
    <row r="29">
      <c r="B29" s="4" t="inlineStr">
        <is>
          <t>SUBCONTRACTOR’S CERTIFICATION</t>
        </is>
      </c>
    </row>
    <row r="30" ht="15" customHeight="1">
      <c r="B30" s="5" t="inlineStr">
        <is>
          <t>The undersigned subcontractor certifies that, to the best of its knowledge, information and belief, the Work covered by this Application for Payment has been completed in accordance with the Contract Documents, that all amounts have been paid by the subcontractor for Work for which previous Certificates for Payment were issued and payments received from the contractor, and that the current payment shown herein is now due.</t>
        </is>
      </c>
    </row>
    <row r="31" ht="15" customHeight="1"/>
    <row r="32" ht="15" customHeight="1"/>
    <row r="34">
      <c r="B34" s="23" t="inlineStr">
        <is>
          <t>SUBCONTRACTOR (firm):</t>
        </is>
      </c>
      <c r="D34" s="68" t="n"/>
      <c r="E34" s="43" t="n"/>
      <c r="G34" s="23" t="inlineStr">
        <is>
          <t>State of:</t>
        </is>
      </c>
      <c r="I34" s="68" t="n"/>
    </row>
    <row r="36">
      <c r="B36" s="23" t="inlineStr">
        <is>
          <t>By (signature):</t>
        </is>
      </c>
      <c r="D36" s="68" t="n"/>
      <c r="E36" s="43" t="n"/>
      <c r="G36" s="23" t="inlineStr">
        <is>
          <t>County of:</t>
        </is>
      </c>
      <c r="I36" s="68" t="n"/>
    </row>
    <row r="38">
      <c r="B38" s="23" t="inlineStr">
        <is>
          <t>Printed name / title:</t>
        </is>
      </c>
      <c r="D38" s="68" t="n"/>
      <c r="E38" s="43" t="n"/>
      <c r="G38" s="40" t="inlineStr">
        <is>
          <t>Subscribed and sworn to before me this ____ day of ____________, 20____.</t>
        </is>
      </c>
    </row>
    <row r="40">
      <c r="B40" s="23" t="inlineStr">
        <is>
          <t>Date:</t>
        </is>
      </c>
      <c r="D40" s="68" t="n"/>
      <c r="E40" s="43" t="n"/>
      <c r="G40" s="23" t="inlineStr">
        <is>
          <t>Notary Public:</t>
        </is>
      </c>
      <c r="I40" s="68" t="n"/>
    </row>
    <row r="43">
      <c r="B43" s="4" t="inlineStr">
        <is>
          <t>CONTRACTOR’S APPROVAL FOR PAYMENT</t>
        </is>
      </c>
    </row>
    <row r="44">
      <c r="B44" s="5" t="inlineStr">
        <is>
          <t>In accordance with the Contract Documents and based on observations at the site and the data comprising this Application, the contractor certifies to the contractor that the Work has progressed as indicated, that the quality of the Work is in accordance with the Contract Documents, and that the subcontractor is entitled to payment of the AMOUNT CERTIFIED.</t>
        </is>
      </c>
    </row>
    <row r="45"/>
    <row r="46"/>
    <row r="48">
      <c r="B48" s="66" t="inlineStr">
        <is>
          <t>AMOUNT CERTIFIED</t>
        </is>
      </c>
      <c r="E48" s="67">
        <f>APP_CurrentPaymentDue</f>
        <v/>
      </c>
    </row>
    <row r="49">
      <c r="B49" s="40" t="inlineStr">
        <is>
          <t>If AMOUNT CERTIFIED differs from CURRENT PAYMENT DUE, attach an explanation and initial every figure changed on this Application and on the Continuation Sheet.</t>
        </is>
      </c>
    </row>
    <row r="50">
      <c r="B50" s="68" t="n"/>
      <c r="C50" s="68" t="n"/>
      <c r="D50" s="68" t="n"/>
      <c r="E50" s="68" t="n"/>
      <c r="F50" s="68" t="n"/>
      <c r="G50" s="68" t="n"/>
      <c r="H50" s="68" t="n"/>
      <c r="I50" s="68" t="n"/>
    </row>
    <row r="52">
      <c r="B52" s="23" t="inlineStr">
        <is>
          <t>CONTRACTOR (firm):</t>
        </is>
      </c>
      <c r="D52" s="68" t="n"/>
      <c r="E52" s="43" t="n"/>
    </row>
    <row r="54">
      <c r="B54" s="23" t="inlineStr">
        <is>
          <t>By (signature):</t>
        </is>
      </c>
      <c r="D54" s="68" t="n"/>
      <c r="E54" s="43" t="n"/>
    </row>
    <row r="56">
      <c r="B56" s="23" t="inlineStr">
        <is>
          <t>Date:</t>
        </is>
      </c>
      <c r="D56" s="68" t="n"/>
      <c r="E56" s="43" t="n"/>
    </row>
    <row r="59">
      <c r="B59" s="40" t="inlineStr">
        <is>
          <t>This Certificate is not negotiable. The AMOUNT CERTIFIED is payable only to the subcontractor named herein. Issuance, payment and acceptance of payment are without prejudice to any rights of the contractor or subcontractor under the Contract.</t>
        </is>
      </c>
    </row>
    <row r="60"/>
  </sheetData>
  <mergeCells count="56">
    <mergeCell ref="F4:G4"/>
    <mergeCell ref="G38:I38"/>
    <mergeCell ref="B54:C54"/>
    <mergeCell ref="D10:E10"/>
    <mergeCell ref="B7:C7"/>
    <mergeCell ref="F10:G10"/>
    <mergeCell ref="H10:I10"/>
    <mergeCell ref="D34:E34"/>
    <mergeCell ref="F6:G6"/>
    <mergeCell ref="H4:I4"/>
    <mergeCell ref="D40:E40"/>
    <mergeCell ref="D36:E36"/>
    <mergeCell ref="B56:C56"/>
    <mergeCell ref="H9:I9"/>
    <mergeCell ref="F7:G7"/>
    <mergeCell ref="B43:I43"/>
    <mergeCell ref="D6:E6"/>
    <mergeCell ref="B52:C52"/>
    <mergeCell ref="B48:C48"/>
    <mergeCell ref="D52:E52"/>
    <mergeCell ref="H6:I6"/>
    <mergeCell ref="F5:G5"/>
    <mergeCell ref="B8:C8"/>
    <mergeCell ref="F8:G8"/>
    <mergeCell ref="B38:C38"/>
    <mergeCell ref="D7:E7"/>
    <mergeCell ref="B29:I29"/>
    <mergeCell ref="G22:I22"/>
    <mergeCell ref="B12:E12"/>
    <mergeCell ref="H7:I7"/>
    <mergeCell ref="B34:C34"/>
    <mergeCell ref="B44:I46"/>
    <mergeCell ref="B10:C10"/>
    <mergeCell ref="D4:E4"/>
    <mergeCell ref="B59:I60"/>
    <mergeCell ref="G12:I12"/>
    <mergeCell ref="B40:C40"/>
    <mergeCell ref="B9:C9"/>
    <mergeCell ref="D56:E56"/>
    <mergeCell ref="D9:E9"/>
    <mergeCell ref="B49:I49"/>
    <mergeCell ref="F9:G9"/>
    <mergeCell ref="D8:E8"/>
    <mergeCell ref="B6:C6"/>
    <mergeCell ref="G20:I21"/>
    <mergeCell ref="B30:I32"/>
    <mergeCell ref="B5:C5"/>
    <mergeCell ref="B13:E13"/>
    <mergeCell ref="D5:E5"/>
    <mergeCell ref="H18:I18"/>
    <mergeCell ref="D38:E38"/>
    <mergeCell ref="B36:C36"/>
    <mergeCell ref="H5:I5"/>
    <mergeCell ref="D54:E54"/>
    <mergeCell ref="H8:I8"/>
    <mergeCell ref="B4:C4"/>
  </mergeCells>
  <pageMargins left="0.75" right="0.75" top="1" bottom="1" header="0.5" footer="0.5"/>
  <pageSetup orientation="portrait" fitToWidth="1"/>
  <headerFooter>
    <oddHeader>&amp;R&amp;8 &amp;K9C9998Alleato Group  ·  Form APP</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G64"/>
  <sheetViews>
    <sheetView showGridLines="0" workbookViewId="0">
      <selection activeCell="A1" sqref="A1"/>
    </sheetView>
  </sheetViews>
  <sheetFormatPr baseColWidth="8" defaultRowHeight="15"/>
  <cols>
    <col width="3" customWidth="1" min="1" max="1"/>
    <col width="30" customWidth="1" min="2" max="2"/>
    <col width="26" customWidth="1" min="3" max="3"/>
    <col width="14" customWidth="1" min="4" max="4"/>
    <col width="12" customWidth="1" min="5" max="5"/>
    <col width="18" customWidth="1" min="6" max="6"/>
    <col width="18" customWidth="1" min="7" max="7"/>
  </cols>
  <sheetData>
    <row r="1" ht="24" customHeight="1">
      <c r="B1" s="2" t="inlineStr">
        <is>
          <t>CHANGE ORDER</t>
        </is>
      </c>
    </row>
    <row r="2" ht="16" customHeight="1">
      <c r="B2" s="8" t="inlineStr">
        <is>
          <t>Form CO  ·  Contractor ↔ Subcontractor</t>
        </is>
      </c>
    </row>
    <row r="3" ht="3.5" customHeight="1">
      <c r="A3" s="1" t="n"/>
      <c r="B3" s="1" t="n"/>
      <c r="C3" s="1" t="n"/>
      <c r="D3" s="1" t="n"/>
      <c r="E3" s="1" t="n"/>
      <c r="F3" s="1" t="n"/>
      <c r="G3" s="1" t="n"/>
    </row>
    <row r="4">
      <c r="B4" s="23" t="inlineStr">
        <is>
          <t>PROJECT:</t>
        </is>
      </c>
      <c r="C4" s="45">
        <f>IF(PrjName="","",PrjName)</f>
        <v/>
      </c>
      <c r="D4" s="43" t="n"/>
      <c r="E4" s="41" t="inlineStr">
        <is>
          <t>CHANGE ORDER NO.:</t>
        </is>
      </c>
      <c r="F4" s="69" t="n"/>
      <c r="G4" s="43" t="n"/>
    </row>
    <row r="5">
      <c r="B5" s="23" t="inlineStr">
        <is>
          <t>PROJECT NO.:</t>
        </is>
      </c>
      <c r="C5" s="45">
        <f>IF(PrjNumber="","",PrjNumber)</f>
        <v/>
      </c>
      <c r="D5" s="43" t="n"/>
      <c r="E5" s="41" t="inlineStr">
        <is>
          <t>DATE:</t>
        </is>
      </c>
      <c r="F5" s="70" t="n"/>
      <c r="G5" s="43" t="n"/>
    </row>
    <row r="6">
      <c r="B6" s="23" t="inlineStr">
        <is>
          <t>CONTRACTOR:</t>
        </is>
      </c>
      <c r="C6" s="45">
        <f>IF(PayerName="","",PayerName)</f>
        <v/>
      </c>
      <c r="D6" s="43" t="n"/>
      <c r="E6" s="41" t="inlineStr">
        <is>
          <t>SUBCONTRACT NO.:</t>
        </is>
      </c>
      <c r="F6" s="45">
        <f>IF(ContractNo="","",ContractNo)</f>
        <v/>
      </c>
      <c r="G6" s="43" t="n"/>
    </row>
    <row r="7">
      <c r="B7" s="23" t="inlineStr">
        <is>
          <t>SUBCONTRACTOR:</t>
        </is>
      </c>
      <c r="C7" s="45">
        <f>IF(PayeeName="","",PayeeName)</f>
        <v/>
      </c>
      <c r="D7" s="43" t="n"/>
      <c r="E7" s="41" t="inlineStr">
        <is>
          <t>SUBCONTRACT DATE:</t>
        </is>
      </c>
      <c r="F7" s="44">
        <f>IF(ContractDate="","",ContractDate)</f>
        <v/>
      </c>
      <c r="G7" s="43" t="n"/>
    </row>
    <row r="8">
      <c r="B8" s="23" t="inlineStr">
        <is>
          <t>PROJECT MANAGER:</t>
        </is>
      </c>
      <c r="C8" s="45">
        <f>IF(ThirdName="","",ThirdName)</f>
        <v/>
      </c>
      <c r="D8" s="43" t="n"/>
      <c r="E8" s="41" t="inlineStr">
        <is>
          <t>ALLEATO PROJECT ID:</t>
        </is>
      </c>
      <c r="F8" s="45">
        <f>IF(PrjId="","",PrjId)</f>
        <v/>
      </c>
      <c r="G8" s="43" t="n"/>
    </row>
    <row r="10">
      <c r="B10" s="4" t="inlineStr">
        <is>
          <t>THE CONTRACT IS CHANGED AS FOLLOWS</t>
        </is>
      </c>
    </row>
    <row r="11">
      <c r="B11" s="7" t="inlineStr">
        <is>
          <t>Describe the change in scope, the reason for the change, and reference the authorizing document (RFI, ASI, bulletin, field directive, CCD).</t>
        </is>
      </c>
    </row>
    <row r="12">
      <c r="B12" s="68" t="n"/>
      <c r="C12" s="43" t="n"/>
      <c r="D12" s="43" t="n"/>
      <c r="E12" s="43" t="n"/>
      <c r="F12" s="43" t="n"/>
      <c r="G12" s="43" t="n"/>
    </row>
    <row r="13">
      <c r="B13" s="68" t="n"/>
      <c r="C13" s="43" t="n"/>
      <c r="D13" s="43" t="n"/>
      <c r="E13" s="43" t="n"/>
      <c r="F13" s="43" t="n"/>
      <c r="G13" s="43" t="n"/>
    </row>
    <row r="14">
      <c r="B14" s="68" t="n"/>
      <c r="C14" s="43" t="n"/>
      <c r="D14" s="43" t="n"/>
      <c r="E14" s="43" t="n"/>
      <c r="F14" s="43" t="n"/>
      <c r="G14" s="43" t="n"/>
    </row>
    <row r="15">
      <c r="B15" s="68" t="n"/>
      <c r="C15" s="43" t="n"/>
      <c r="D15" s="43" t="n"/>
      <c r="E15" s="43" t="n"/>
      <c r="F15" s="43" t="n"/>
      <c r="G15" s="43" t="n"/>
    </row>
    <row r="16">
      <c r="B16" s="68" t="n"/>
      <c r="C16" s="43" t="n"/>
      <c r="D16" s="43" t="n"/>
      <c r="E16" s="43" t="n"/>
      <c r="F16" s="43" t="n"/>
      <c r="G16" s="43" t="n"/>
    </row>
    <row r="17">
      <c r="B17" s="68" t="n"/>
      <c r="C17" s="43" t="n"/>
      <c r="D17" s="43" t="n"/>
      <c r="E17" s="43" t="n"/>
      <c r="F17" s="43" t="n"/>
      <c r="G17" s="43" t="n"/>
    </row>
    <row r="18">
      <c r="B18" s="68" t="n"/>
      <c r="C18" s="43" t="n"/>
      <c r="D18" s="43" t="n"/>
      <c r="E18" s="43" t="n"/>
      <c r="F18" s="43" t="n"/>
      <c r="G18" s="43" t="n"/>
    </row>
    <row r="19">
      <c r="B19" s="68" t="n"/>
      <c r="C19" s="43" t="n"/>
      <c r="D19" s="43" t="n"/>
      <c r="E19" s="43" t="n"/>
      <c r="F19" s="43" t="n"/>
      <c r="G19" s="43" t="n"/>
    </row>
    <row r="21">
      <c r="B21" s="4" t="inlineStr">
        <is>
          <t>COST BREAKDOWN</t>
        </is>
      </c>
    </row>
    <row r="22">
      <c r="B22" s="52" t="inlineStr">
        <is>
          <t>DESCRIPTION</t>
        </is>
      </c>
      <c r="C22" s="52" t="inlineStr">
        <is>
          <t>BUDGET CODE</t>
        </is>
      </c>
      <c r="D22" s="52" t="inlineStr">
        <is>
          <t>QTY</t>
        </is>
      </c>
      <c r="E22" s="52" t="inlineStr">
        <is>
          <t>UOM</t>
        </is>
      </c>
      <c r="F22" s="52" t="inlineStr">
        <is>
          <t>UNIT COST</t>
        </is>
      </c>
      <c r="G22" s="52" t="inlineStr">
        <is>
          <t>AMOUNT</t>
        </is>
      </c>
    </row>
    <row r="23">
      <c r="B23" s="12" t="n"/>
      <c r="C23" s="12" t="n"/>
      <c r="D23" s="71" t="n"/>
      <c r="E23" s="12" t="n"/>
      <c r="F23" s="15" t="n"/>
      <c r="G23" s="19">
        <f>IF(COUNT(D23,F23)=2,N(D23)*N(F23),"")</f>
        <v/>
      </c>
    </row>
    <row r="24">
      <c r="B24" s="12" t="n"/>
      <c r="C24" s="12" t="n"/>
      <c r="D24" s="71" t="n"/>
      <c r="E24" s="12" t="n"/>
      <c r="F24" s="15" t="n"/>
      <c r="G24" s="19">
        <f>IF(COUNT(D24,F24)=2,N(D24)*N(F24),"")</f>
        <v/>
      </c>
    </row>
    <row r="25">
      <c r="B25" s="12" t="n"/>
      <c r="C25" s="12" t="n"/>
      <c r="D25" s="71" t="n"/>
      <c r="E25" s="12" t="n"/>
      <c r="F25" s="15" t="n"/>
      <c r="G25" s="19">
        <f>IF(COUNT(D25,F25)=2,N(D25)*N(F25),"")</f>
        <v/>
      </c>
    </row>
    <row r="26">
      <c r="B26" s="12" t="n"/>
      <c r="C26" s="12" t="n"/>
      <c r="D26" s="71" t="n"/>
      <c r="E26" s="12" t="n"/>
      <c r="F26" s="15" t="n"/>
      <c r="G26" s="19">
        <f>IF(COUNT(D26,F26)=2,N(D26)*N(F26),"")</f>
        <v/>
      </c>
    </row>
    <row r="27">
      <c r="B27" s="12" t="n"/>
      <c r="C27" s="12" t="n"/>
      <c r="D27" s="71" t="n"/>
      <c r="E27" s="12" t="n"/>
      <c r="F27" s="15" t="n"/>
      <c r="G27" s="19">
        <f>IF(COUNT(D27,F27)=2,N(D27)*N(F27),"")</f>
        <v/>
      </c>
    </row>
    <row r="28">
      <c r="B28" s="12" t="n"/>
      <c r="C28" s="12" t="n"/>
      <c r="D28" s="71" t="n"/>
      <c r="E28" s="12" t="n"/>
      <c r="F28" s="15" t="n"/>
      <c r="G28" s="19">
        <f>IF(COUNT(D28,F28)=2,N(D28)*N(F28),"")</f>
        <v/>
      </c>
    </row>
    <row r="29">
      <c r="B29" s="12" t="n"/>
      <c r="C29" s="12" t="n"/>
      <c r="D29" s="71" t="n"/>
      <c r="E29" s="12" t="n"/>
      <c r="F29" s="15" t="n"/>
      <c r="G29" s="19">
        <f>IF(COUNT(D29,F29)=2,N(D29)*N(F29),"")</f>
        <v/>
      </c>
    </row>
    <row r="30">
      <c r="B30" s="12" t="n"/>
      <c r="C30" s="12" t="n"/>
      <c r="D30" s="71" t="n"/>
      <c r="E30" s="12" t="n"/>
      <c r="F30" s="15" t="n"/>
      <c r="G30" s="19">
        <f>IF(COUNT(D30,F30)=2,N(D30)*N(F30),"")</f>
        <v/>
      </c>
    </row>
    <row r="31">
      <c r="B31" s="12" t="n"/>
      <c r="C31" s="12" t="n"/>
      <c r="D31" s="71" t="n"/>
      <c r="E31" s="12" t="n"/>
      <c r="F31" s="15" t="n"/>
      <c r="G31" s="19">
        <f>IF(COUNT(D31,F31)=2,N(D31)*N(F31),"")</f>
        <v/>
      </c>
    </row>
    <row r="32">
      <c r="B32" s="12" t="n"/>
      <c r="C32" s="12" t="n"/>
      <c r="D32" s="71" t="n"/>
      <c r="E32" s="12" t="n"/>
      <c r="F32" s="15" t="n"/>
      <c r="G32" s="19">
        <f>IF(COUNT(D32,F32)=2,N(D32)*N(F32),"")</f>
        <v/>
      </c>
    </row>
    <row r="33">
      <c r="B33" s="12" t="n"/>
      <c r="C33" s="12" t="n"/>
      <c r="D33" s="71" t="n"/>
      <c r="E33" s="12" t="n"/>
      <c r="F33" s="15" t="n"/>
      <c r="G33" s="19">
        <f>IF(COUNT(D33,F33)=2,N(D33)*N(F33),"")</f>
        <v/>
      </c>
    </row>
    <row r="34">
      <c r="B34" s="12" t="n"/>
      <c r="C34" s="12" t="n"/>
      <c r="D34" s="71" t="n"/>
      <c r="E34" s="12" t="n"/>
      <c r="F34" s="15" t="n"/>
      <c r="G34" s="19">
        <f>IF(COUNT(D34,F34)=2,N(D34)*N(F34),"")</f>
        <v/>
      </c>
    </row>
    <row r="35">
      <c r="B35" s="21" t="inlineStr">
        <is>
          <t>TOTAL THIS CHANGE ORDER</t>
        </is>
      </c>
      <c r="C35" s="20" t="n"/>
      <c r="D35" s="20" t="n"/>
      <c r="E35" s="20" t="n"/>
      <c r="F35" s="20" t="n"/>
      <c r="G35" s="22">
        <f>SUM(G23:G34)</f>
        <v/>
      </c>
    </row>
    <row r="36">
      <c r="B36" s="7" t="inlineStr">
        <is>
          <t>If AMOUNT is entered directly without qty × unit cost, put it in the AMOUNT column and leave QTY / UNIT COST blank.</t>
        </is>
      </c>
    </row>
    <row r="38">
      <c r="B38" s="4" t="inlineStr">
        <is>
          <t>CONTRACT SUM ADJUSTMENT</t>
        </is>
      </c>
    </row>
    <row r="39" ht="22" customHeight="1">
      <c r="B39" s="54" t="inlineStr">
        <is>
          <t>The original Contract Sum was</t>
        </is>
      </c>
      <c r="F39" s="19">
        <f>OrigContractSum</f>
        <v/>
      </c>
      <c r="G39" s="30" t="n"/>
    </row>
    <row r="40" ht="22" customHeight="1">
      <c r="B40" s="54" t="inlineStr">
        <is>
          <t>Net change by previously authorized Change Orders</t>
        </is>
      </c>
      <c r="F40" s="15" t="n">
        <v>0</v>
      </c>
      <c r="G40" s="30" t="n"/>
    </row>
    <row r="41" ht="22" customHeight="1">
      <c r="B41" s="72" t="inlineStr">
        <is>
          <t>The Contract Sum prior to this Change Order was</t>
        </is>
      </c>
      <c r="F41" s="55">
        <f>N(F39)+N(F40)</f>
        <v/>
      </c>
      <c r="G41" s="30" t="n"/>
    </row>
    <row r="42" ht="22" customHeight="1">
      <c r="B42" s="54" t="inlineStr">
        <is>
          <t>The Contract Sum will be increased / (decreased) by this Change Order in the amount of</t>
        </is>
      </c>
      <c r="F42" s="19">
        <f>N(G35)</f>
        <v/>
      </c>
      <c r="G42" s="30" t="n"/>
    </row>
    <row r="43" ht="22" customHeight="1">
      <c r="B43" s="72" t="inlineStr">
        <is>
          <t>The new Contract Sum including this Change Order will be</t>
        </is>
      </c>
      <c r="F43" s="67">
        <f>N(F41)+N(F42)</f>
        <v/>
      </c>
      <c r="G43" s="30" t="n"/>
    </row>
    <row r="45">
      <c r="B45" s="24" t="inlineStr">
        <is>
          <t>The Contract Time will be increased / (decreased) by</t>
        </is>
      </c>
      <c r="F45" s="73" t="n"/>
      <c r="G45" s="7" t="inlineStr">
        <is>
          <t>calendar days</t>
        </is>
      </c>
    </row>
    <row r="46">
      <c r="B46" s="24" t="inlineStr">
        <is>
          <t>The date of Substantial Completion as of this Change Order is</t>
        </is>
      </c>
      <c r="F46" s="74" t="n"/>
      <c r="G46" s="7" t="inlineStr"/>
    </row>
    <row r="48">
      <c r="B48" s="40" t="inlineStr">
        <is>
          <t>NOTE: This Change Order does not include changes in the Contract Sum, Contract Time or Guaranteed Maximum Price that have been authorized by Construction Change Directive until the cost and time have been agreed upon by both parties.</t>
        </is>
      </c>
    </row>
    <row r="49"/>
    <row r="51">
      <c r="B51" s="23" t="inlineStr">
        <is>
          <t>NOT VALID UNTIL SIGNED BY ALL PARTIES BELOW</t>
        </is>
      </c>
    </row>
    <row r="53">
      <c r="B53" s="23" t="inlineStr">
        <is>
          <t>CONTRACTOR</t>
        </is>
      </c>
      <c r="E53" s="23" t="inlineStr">
        <is>
          <t>SUBCONTRACTOR</t>
        </is>
      </c>
    </row>
    <row r="54">
      <c r="B54" s="68" t="n"/>
      <c r="C54" s="43" t="n"/>
      <c r="D54" s="43" t="n"/>
      <c r="E54" s="68" t="n"/>
      <c r="F54" s="43" t="n"/>
      <c r="G54" s="43" t="n"/>
    </row>
    <row r="55">
      <c r="B55" s="7" t="inlineStr">
        <is>
          <t>(firm name)</t>
        </is>
      </c>
      <c r="E55" s="7" t="inlineStr">
        <is>
          <t>(firm name)</t>
        </is>
      </c>
    </row>
    <row r="57">
      <c r="B57" s="68" t="n"/>
      <c r="C57" s="43" t="n"/>
      <c r="D57" s="43" t="n"/>
      <c r="E57" s="68" t="n"/>
      <c r="F57" s="43" t="n"/>
      <c r="G57" s="43" t="n"/>
    </row>
    <row r="58">
      <c r="B58" s="7" t="inlineStr">
        <is>
          <t>BY  (signature)</t>
        </is>
      </c>
      <c r="E58" s="7" t="inlineStr">
        <is>
          <t>BY  (signature)</t>
        </is>
      </c>
    </row>
    <row r="60">
      <c r="B60" s="68" t="n"/>
      <c r="C60" s="43" t="n"/>
      <c r="D60" s="43" t="n"/>
      <c r="E60" s="68" t="n"/>
      <c r="F60" s="43" t="n"/>
      <c r="G60" s="43" t="n"/>
    </row>
    <row r="61">
      <c r="B61" s="7" t="inlineStr">
        <is>
          <t>(printed name and title)</t>
        </is>
      </c>
      <c r="E61" s="7" t="inlineStr">
        <is>
          <t>(printed name and title)</t>
        </is>
      </c>
    </row>
    <row r="63">
      <c r="B63" s="68" t="n"/>
      <c r="C63" s="43" t="n"/>
      <c r="D63" s="43" t="n"/>
      <c r="E63" s="68" t="n"/>
      <c r="F63" s="43" t="n"/>
      <c r="G63" s="43" t="n"/>
    </row>
    <row r="64">
      <c r="B64" s="7" t="inlineStr">
        <is>
          <t>DATE</t>
        </is>
      </c>
      <c r="E64" s="7" t="inlineStr">
        <is>
          <t>DATE</t>
        </is>
      </c>
    </row>
  </sheetData>
  <mergeCells count="45">
    <mergeCell ref="E63:G63"/>
    <mergeCell ref="F4:G4"/>
    <mergeCell ref="B40:E40"/>
    <mergeCell ref="C6:D6"/>
    <mergeCell ref="B60:D60"/>
    <mergeCell ref="B14:G14"/>
    <mergeCell ref="E60:G60"/>
    <mergeCell ref="B57:D57"/>
    <mergeCell ref="B17:G17"/>
    <mergeCell ref="C5:D5"/>
    <mergeCell ref="F6:G6"/>
    <mergeCell ref="B13:G13"/>
    <mergeCell ref="F40:G40"/>
    <mergeCell ref="F7:G7"/>
    <mergeCell ref="C4:D4"/>
    <mergeCell ref="B38:G38"/>
    <mergeCell ref="B19:G19"/>
    <mergeCell ref="B45:E45"/>
    <mergeCell ref="B41:E41"/>
    <mergeCell ref="B10:G10"/>
    <mergeCell ref="F5:G5"/>
    <mergeCell ref="E57:G57"/>
    <mergeCell ref="F42:G42"/>
    <mergeCell ref="F41:G41"/>
    <mergeCell ref="B46:E46"/>
    <mergeCell ref="B15:G15"/>
    <mergeCell ref="F8:G8"/>
    <mergeCell ref="E54:G54"/>
    <mergeCell ref="B51:G51"/>
    <mergeCell ref="B36:G36"/>
    <mergeCell ref="B43:E43"/>
    <mergeCell ref="B63:D63"/>
    <mergeCell ref="B39:E39"/>
    <mergeCell ref="B48:G49"/>
    <mergeCell ref="B42:E42"/>
    <mergeCell ref="C8:D8"/>
    <mergeCell ref="B54:D54"/>
    <mergeCell ref="F43:G43"/>
    <mergeCell ref="B16:G16"/>
    <mergeCell ref="F39:G39"/>
    <mergeCell ref="C7:D7"/>
    <mergeCell ref="B12:G12"/>
    <mergeCell ref="B18:G18"/>
    <mergeCell ref="B21:G21"/>
    <mergeCell ref="B11:G11"/>
  </mergeCells>
  <pageMargins left="0.75" right="0.75" top="1" bottom="1" header="0.5" footer="0.5"/>
  <pageSetup orientation="portrait" fitToWidth="1"/>
  <headerFooter>
    <oddHeader>&amp;R&amp;8 &amp;K9C9998Alleato Group  ·  Form CO</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2026-07-31T15:14:11Z</dcterms:created>
  <dcterms:modified xmlns:dcterms="http://purl.org/dc/terms/" xmlns:xsi="http://www.w3.org/2001/XMLSchema-instance" xsi:type="dcterms:W3CDTF">2026-07-31T15:14:11Z</dcterms:modified>
</cp:coreProperties>
</file>