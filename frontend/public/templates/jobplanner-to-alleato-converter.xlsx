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mpany Lookup" sheetId="2" state="visible" r:id="rId2"/>
    <sheet xmlns:r="http://schemas.openxmlformats.org/officeDocument/2006/relationships" name="JobPlanner Data" sheetId="3" state="visible" r:id="rId3"/>
    <sheet xmlns:r="http://schemas.openxmlformats.org/officeDocument/2006/relationships" name="Transformation" sheetId="4" state="visible" r:id="rId4"/>
    <sheet xmlns:r="http://schemas.openxmlformats.org/officeDocument/2006/relationships" name="Alleato Import Read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i val="1"/>
      <color rgb="00999999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left" vertical="center"/>
    </xf>
    <xf numFmtId="0" fontId="3" fillId="4" borderId="0" pivotButton="0" quotePrefix="0" xfId="0"/>
    <xf numFmtId="2" fontId="0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40" customWidth="1" min="3" max="3"/>
  </cols>
  <sheetData>
    <row r="1">
      <c r="A1" t="inlineStr"/>
    </row>
    <row r="2">
      <c r="A2" s="1" t="inlineStr">
        <is>
          <t>JOBPLANNER → ALLEATO COMMITMENT CONVERTER</t>
        </is>
      </c>
    </row>
    <row r="3">
      <c r="A3" t="inlineStr"/>
    </row>
    <row r="4">
      <c r="A4" t="inlineStr">
        <is>
          <t>This workbook helps you convert your JobPlanner commitment export into Alleato's import format.</t>
        </is>
      </c>
    </row>
    <row r="5">
      <c r="A5" t="inlineStr"/>
    </row>
    <row r="6">
      <c r="A6" t="inlineStr">
        <is>
          <t>HOW TO USE</t>
        </is>
      </c>
    </row>
    <row r="7">
      <c r="A7" s="2" t="n"/>
    </row>
    <row r="8">
      <c r="A8" t="inlineStr"/>
    </row>
    <row r="9">
      <c r="A9" t="inlineStr">
        <is>
          <t>STEP 1: Paste your JobPlanner CSV data into the 'JobPlanner Data' sheet</t>
        </is>
      </c>
    </row>
    <row r="10">
      <c r="A10" t="inlineStr">
        <is>
          <t xml:space="preserve">   - Open your JobPlanner export CSV file</t>
        </is>
      </c>
    </row>
    <row r="11">
      <c r="A11" t="inlineStr">
        <is>
          <t xml:space="preserve">   - Copy the entire contents (all columns and rows)</t>
        </is>
      </c>
    </row>
    <row r="12">
      <c r="A12" t="inlineStr">
        <is>
          <t xml:space="preserve">   - Paste into the 'JobPlanner Data' sheet starting at cell A1</t>
        </is>
      </c>
    </row>
    <row r="13">
      <c r="A13" t="inlineStr"/>
    </row>
    <row r="14">
      <c r="A14" t="inlineStr">
        <is>
          <t>STEP 2: Create a Company Lookup table in the 'Company Lookup' sheet</t>
        </is>
      </c>
    </row>
    <row r="15">
      <c r="A15" t="inlineStr">
        <is>
          <t xml:space="preserve">   - Column A: Vendor names (from your JobPlanner data)</t>
        </is>
      </c>
    </row>
    <row r="16">
      <c r="A16" t="inlineStr">
        <is>
          <t xml:space="preserve">   - Column B: Company UUIDs (from Alleato Directory → Companies)</t>
        </is>
      </c>
    </row>
    <row r="17">
      <c r="A17" t="inlineStr">
        <is>
          <t xml:space="preserve">   - This maps vendor names to their Alleato company IDs</t>
        </is>
      </c>
    </row>
    <row r="18">
      <c r="A18" t="inlineStr"/>
    </row>
    <row r="19">
      <c r="A19" t="inlineStr">
        <is>
          <t>STEP 3: The 'Transformation' sheet will auto-convert your data</t>
        </is>
      </c>
    </row>
    <row r="20">
      <c r="A20" t="inlineStr">
        <is>
          <t xml:space="preserve">   - Formulas automatically clean and reformat your JobPlanner data</t>
        </is>
      </c>
    </row>
    <row r="21">
      <c r="A21" t="inlineStr">
        <is>
          <t xml:space="preserve">   - Lookups automatically find the correct Company IDs</t>
        </is>
      </c>
    </row>
    <row r="22">
      <c r="A22" t="inlineStr">
        <is>
          <t xml:space="preserve">   - Date formats are automatically converted to YYYY-MM-DD</t>
        </is>
      </c>
    </row>
    <row r="23">
      <c r="A23" t="inlineStr"/>
    </row>
    <row r="24">
      <c r="A24" t="inlineStr">
        <is>
          <t>STEP 4: Copy the 'Alleato Import Ready' sheet</t>
        </is>
      </c>
    </row>
    <row r="25">
      <c r="A25" t="inlineStr">
        <is>
          <t xml:space="preserve">   - Select all data from this sheet (except the header row)</t>
        </is>
      </c>
    </row>
    <row r="26">
      <c r="A26" t="inlineStr">
        <is>
          <t xml:space="preserve">   - Paste into the Alleato import template 'Commitments' sheet</t>
        </is>
      </c>
    </row>
    <row r="27">
      <c r="A27" t="inlineStr">
        <is>
          <t xml:space="preserve">   - Upload via Alleato's import feature</t>
        </is>
      </c>
    </row>
    <row r="28">
      <c r="A28" t="inlineStr"/>
    </row>
    <row r="29">
      <c r="A29" t="inlineStr">
        <is>
          <t>IMPORTANT:</t>
        </is>
      </c>
    </row>
    <row r="30">
      <c r="A30" t="inlineStr">
        <is>
          <t xml:space="preserve">  • Blank rows are skipped automatically</t>
        </is>
      </c>
    </row>
    <row r="31">
      <c r="A31" t="inlineStr">
        <is>
          <t xml:space="preserve">  • Currency symbols ($) and commas are removed from amounts</t>
        </is>
      </c>
    </row>
    <row r="32">
      <c r="A32" t="inlineStr">
        <is>
          <t xml:space="preserve">  • Dates are converted from MM/DD/YYYY to YYYY-MM-DD format</t>
        </is>
      </c>
    </row>
    <row r="33">
      <c r="A33" t="inlineStr">
        <is>
          <t xml:space="preserve">  • All company names MUST exist in your Company Lookup table</t>
        </is>
      </c>
    </row>
    <row r="34">
      <c r="A34" t="inlineStr"/>
    </row>
    <row r="35">
      <c r="A35" t="inlineStr"/>
    </row>
    <row r="36">
      <c r="A36" s="2" t="inlineStr">
        <is>
          <t>COLUMN MAPPING</t>
        </is>
      </c>
    </row>
    <row r="37">
      <c r="A37" t="inlineStr">
        <is>
          <t>JobPlanner Column</t>
        </is>
      </c>
      <c r="B37" t="inlineStr">
        <is>
          <t>Maps To</t>
        </is>
      </c>
      <c r="C37" t="inlineStr">
        <is>
          <t>Transformation</t>
        </is>
      </c>
    </row>
    <row r="38">
      <c r="A38" t="inlineStr">
        <is>
          <t>Number</t>
        </is>
      </c>
      <c r="B38" t="inlineStr">
        <is>
          <t>Number</t>
        </is>
      </c>
      <c r="C38" t="inlineStr">
        <is>
          <t>Direct copy</t>
        </is>
      </c>
    </row>
    <row r="39">
      <c r="A39" t="inlineStr">
        <is>
          <t>Type</t>
        </is>
      </c>
      <c r="B39" t="inlineStr">
        <is>
          <t>Type</t>
        </is>
      </c>
      <c r="C39" t="inlineStr">
        <is>
          <t>Direct copy (lowercase)</t>
        </is>
      </c>
    </row>
    <row r="40">
      <c r="A40" t="inlineStr">
        <is>
          <t>Contracted Company</t>
        </is>
      </c>
      <c r="B40" t="inlineStr">
        <is>
          <t>Company ID</t>
        </is>
      </c>
      <c r="C40" t="inlineStr">
        <is>
          <t>VLOOKUP from Company Lookup table</t>
        </is>
      </c>
    </row>
    <row r="41">
      <c r="A41" t="inlineStr">
        <is>
          <t>Title</t>
        </is>
      </c>
      <c r="B41" t="inlineStr">
        <is>
          <t>Title</t>
        </is>
      </c>
      <c r="C41" t="inlineStr">
        <is>
          <t>Use this if not blank; otherwise use Category column</t>
        </is>
      </c>
    </row>
    <row r="42">
      <c r="A42" t="inlineStr">
        <is>
          <t>Cost Code (col 5)</t>
        </is>
      </c>
      <c r="B42" t="inlineStr">
        <is>
          <t>Budget Code</t>
        </is>
      </c>
      <c r="C42" t="inlineStr">
        <is>
          <t>Goes to SOV Items sheet</t>
        </is>
      </c>
    </row>
    <row r="43">
      <c r="A43" t="inlineStr">
        <is>
          <t>Category (col 6)</t>
        </is>
      </c>
      <c r="B43" t="inlineStr">
        <is>
          <t>Description</t>
        </is>
      </c>
      <c r="C43" t="inlineStr">
        <is>
          <t>Used if Title is blank</t>
        </is>
      </c>
    </row>
    <row r="44">
      <c r="A44" t="inlineStr">
        <is>
          <t>Amount</t>
        </is>
      </c>
      <c r="B44" t="inlineStr">
        <is>
          <t>Original Amount</t>
        </is>
      </c>
      <c r="C44" t="inlineStr">
        <is>
          <t>Remove $ and commas</t>
        </is>
      </c>
    </row>
    <row r="45">
      <c r="A45" t="inlineStr">
        <is>
          <t>Retainage</t>
        </is>
      </c>
      <c r="B45" t="inlineStr">
        <is>
          <t>Retention Percentage</t>
        </is>
      </c>
      <c r="C45" t="inlineStr">
        <is>
          <t>Direct copy</t>
        </is>
      </c>
    </row>
    <row r="46">
      <c r="A46" t="inlineStr">
        <is>
          <t>Contract Date</t>
        </is>
      </c>
      <c r="B46" t="inlineStr">
        <is>
          <t>Contract Date</t>
        </is>
      </c>
      <c r="C46" t="inlineStr">
        <is>
          <t>Convert MM/DD/YYYY to YYYY-MM-DD</t>
        </is>
      </c>
    </row>
    <row r="47">
      <c r="A47" t="inlineStr">
        <is>
          <t>Status</t>
        </is>
      </c>
      <c r="B47" t="inlineStr">
        <is>
          <t>Status</t>
        </is>
      </c>
      <c r="C47" t="inlineStr">
        <is>
          <t>Convert to lowercase</t>
        </is>
      </c>
    </row>
    <row r="48">
      <c r="A48" t="inlineStr">
        <is>
          <t>Description</t>
        </is>
      </c>
      <c r="B48" t="inlineStr">
        <is>
          <t>Description</t>
        </is>
      </c>
      <c r="C48" t="inlineStr">
        <is>
          <t>Direct copy</t>
        </is>
      </c>
    </row>
    <row r="49">
      <c r="A49" t="inlineStr">
        <is>
          <t>Start</t>
        </is>
      </c>
      <c r="B49" t="inlineStr">
        <is>
          <t>Start Date</t>
        </is>
      </c>
      <c r="C49" t="inlineStr">
        <is>
          <t>Convert MM/DD/YYYY to YYYY-MM-DD</t>
        </is>
      </c>
    </row>
    <row r="50">
      <c r="A50" t="inlineStr">
        <is>
          <t>Est. Complete</t>
        </is>
      </c>
      <c r="B50" t="inlineStr">
        <is>
          <t>Est. Completion Date</t>
        </is>
      </c>
      <c r="C50" t="inlineStr">
        <is>
          <t>Convert MM/DD/YYYY to YYYY-MM-DD</t>
        </is>
      </c>
    </row>
    <row r="51">
      <c r="A51" t="inlineStr">
        <is>
          <t>Inclusions</t>
        </is>
      </c>
      <c r="B51" t="inlineStr">
        <is>
          <t>Inclusions</t>
        </is>
      </c>
      <c r="C51" t="inlineStr">
        <is>
          <t>Direct copy</t>
        </is>
      </c>
    </row>
    <row r="52">
      <c r="A52" t="inlineStr">
        <is>
          <t>Exclusions</t>
        </is>
      </c>
      <c r="B52" t="inlineStr">
        <is>
          <t>Exclusions</t>
        </is>
      </c>
      <c r="C52" t="inlineStr">
        <is>
          <t>Direct copy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3" t="inlineStr">
        <is>
          <t>Vendor Name from JobPlanner</t>
        </is>
      </c>
      <c r="B1" s="3" t="inlineStr">
        <is>
          <t>Company UUID from Alleato</t>
        </is>
      </c>
    </row>
    <row r="2">
      <c r="A2" t="inlineStr">
        <is>
          <t>← Paste vendor names here | Paste UUIDs here →</t>
        </is>
      </c>
      <c r="B2" t="inlineStr"/>
    </row>
    <row r="3">
      <c r="A3" t="inlineStr">
        <is>
          <t>C&amp;S Heating &amp; Cooling Inc.</t>
        </is>
      </c>
      <c r="B3" t="inlineStr"/>
    </row>
    <row r="4">
      <c r="A4" t="inlineStr">
        <is>
          <t>Casework Concepts LLC</t>
        </is>
      </c>
      <c r="B4" t="inlineStr"/>
    </row>
    <row r="5">
      <c r="A5" t="inlineStr">
        <is>
          <t>Central Indiana Hardware, CO, Inc</t>
        </is>
      </c>
      <c r="B5" t="inlineStr"/>
    </row>
    <row r="6">
      <c r="A6" t="inlineStr">
        <is>
          <t>Superior Contractors Inc</t>
        </is>
      </c>
      <c r="B6" t="inlineStr"/>
    </row>
    <row r="7">
      <c r="A7" t="inlineStr">
        <is>
          <t>Deem, LLC</t>
        </is>
      </c>
      <c r="B7" t="inlineStr"/>
    </row>
    <row r="8">
      <c r="A8" t="inlineStr">
        <is>
          <t>Justin Dorsey Plumbing</t>
        </is>
      </c>
      <c r="B8" t="inlineStr"/>
    </row>
    <row r="9">
      <c r="A9" t="inlineStr">
        <is>
          <t>EURO Plastering</t>
        </is>
      </c>
      <c r="B9" t="inlineStr"/>
    </row>
    <row r="10">
      <c r="A10" t="inlineStr">
        <is>
          <t>Steel Services, Inc</t>
        </is>
      </c>
      <c r="B10" t="inlineStr"/>
    </row>
    <row r="11">
      <c r="A11" t="inlineStr">
        <is>
          <t>Bul-Tec Roofing</t>
        </is>
      </c>
      <c r="B11" t="inlineStr"/>
    </row>
    <row r="12">
      <c r="A12" t="inlineStr">
        <is>
          <t>KLEENIT GROUP INC.</t>
        </is>
      </c>
      <c r="B12" t="inlineStr"/>
    </row>
    <row r="13">
      <c r="A13" t="inlineStr">
        <is>
          <t>Inline Painting LLC</t>
        </is>
      </c>
      <c r="B13" t="inlineStr"/>
    </row>
    <row r="14">
      <c r="A14" t="inlineStr">
        <is>
          <t>Integrity Concrete Cutters</t>
        </is>
      </c>
      <c r="B14" t="inlineStr"/>
    </row>
    <row r="15">
      <c r="A15" t="inlineStr">
        <is>
          <t>Central Security &amp; Communications</t>
        </is>
      </c>
      <c r="B15" t="inlineStr"/>
    </row>
    <row r="16">
      <c r="A16" t="inlineStr">
        <is>
          <t>Vulcan Fire Protection Services, Inc.</t>
        </is>
      </c>
      <c r="B16" t="inlineStr"/>
    </row>
    <row r="17">
      <c r="A17" t="inlineStr">
        <is>
          <t>Central Indiana Hardware, CO, Inc</t>
        </is>
      </c>
      <c r="B17" t="inlineStr"/>
    </row>
    <row r="18">
      <c r="A18" t="inlineStr">
        <is>
          <t>Division 4 Masonry</t>
        </is>
      </c>
      <c r="B18" t="inlineStr"/>
    </row>
    <row r="19">
      <c r="A19" t="inlineStr">
        <is>
          <t>Market Ready Interiors Inc</t>
        </is>
      </c>
      <c r="B19" t="inlineStr"/>
    </row>
    <row r="20">
      <c r="A20" t="inlineStr">
        <is>
          <t>Apex Glass LLC</t>
        </is>
      </c>
      <c r="B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15" customWidth="1" min="7" max="7"/>
  </cols>
  <sheetData>
    <row r="1">
      <c r="A1" t="inlineStr">
        <is>
          <t>← Paste your entire JobPlanner CSV export here</t>
        </is>
      </c>
    </row>
    <row r="2">
      <c r="A2" s="4" t="inlineStr">
        <is>
          <t>Number</t>
        </is>
      </c>
      <c r="B2" s="4" t="inlineStr">
        <is>
          <t>Type</t>
        </is>
      </c>
      <c r="C2" s="4" t="inlineStr">
        <is>
          <t>Contracted Company</t>
        </is>
      </c>
      <c r="D2" s="4" t="inlineStr">
        <is>
          <t>Title</t>
        </is>
      </c>
      <c r="E2" s="4" t="inlineStr">
        <is>
          <t>Col5</t>
        </is>
      </c>
      <c r="F2" s="4" t="inlineStr">
        <is>
          <t>Col6</t>
        </is>
      </c>
      <c r="G2" s="4" t="inlineStr">
        <is>
          <t>Amount</t>
        </is>
      </c>
      <c r="H2" s="4" t="inlineStr">
        <is>
          <t>Retainage</t>
        </is>
      </c>
      <c r="I2" s="4" t="inlineStr">
        <is>
          <t>Contract Date</t>
        </is>
      </c>
      <c r="J2" s="4" t="inlineStr">
        <is>
          <t>Status</t>
        </is>
      </c>
      <c r="K2" s="4" t="inlineStr">
        <is>
          <t>Created</t>
        </is>
      </c>
      <c r="L2" s="4" t="inlineStr">
        <is>
          <t>Description</t>
        </is>
      </c>
      <c r="M2" s="4" t="inlineStr">
        <is>
          <t>Delivery</t>
        </is>
      </c>
      <c r="N2" s="4" t="inlineStr">
        <is>
          <t>Start</t>
        </is>
      </c>
      <c r="O2" s="4" t="inlineStr">
        <is>
          <t>Inclusions</t>
        </is>
      </c>
      <c r="P2" s="4" t="inlineStr">
        <is>
          <t>Exclusions</t>
        </is>
      </c>
      <c r="Q2" s="4" t="inlineStr">
        <is>
          <t>Est. Complete</t>
        </is>
      </c>
      <c r="R2" s="4" t="inlineStr">
        <is>
          <t>Act. Complete</t>
        </is>
      </c>
      <c r="S2" s="4" t="inlineStr">
        <is>
          <t>Signed Date</t>
        </is>
      </c>
      <c r="T2" s="4" t="inlineStr">
        <is>
          <t>Execution Date</t>
        </is>
      </c>
      <c r="U2" s="4" t="inlineStr">
        <is>
          <t>Issued On</t>
        </is>
      </c>
      <c r="V2" s="4" t="inlineStr">
        <is>
          <t>Returned On</t>
        </is>
      </c>
      <c r="W2" s="4" t="inlineStr">
        <is>
          <t>Payment Terms</t>
        </is>
      </c>
      <c r="X2" s="4" t="inlineStr">
        <is>
          <t>Shipping Info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Number</t>
        </is>
      </c>
      <c r="B1" s="4" t="inlineStr">
        <is>
          <t>Type</t>
        </is>
      </c>
      <c r="C1" s="4" t="inlineStr">
        <is>
          <t>Title</t>
        </is>
      </c>
      <c r="D1" s="4" t="inlineStr">
        <is>
          <t>Status</t>
        </is>
      </c>
      <c r="E1" s="4" t="inlineStr">
        <is>
          <t>Company ID</t>
        </is>
      </c>
      <c r="F1" s="4" t="inlineStr">
        <is>
          <t>Original Amount</t>
        </is>
      </c>
      <c r="G1" s="4" t="inlineStr">
        <is>
          <t>Accounting Method</t>
        </is>
      </c>
      <c r="H1" s="4" t="inlineStr">
        <is>
          <t>Description</t>
        </is>
      </c>
      <c r="I1" s="4" t="inlineStr">
        <is>
          <t>Retention Percentage</t>
        </is>
      </c>
      <c r="J1" s="4" t="inlineStr">
        <is>
          <t>Start Date</t>
        </is>
      </c>
      <c r="K1" s="4" t="inlineStr">
        <is>
          <t>Est. Completion Date</t>
        </is>
      </c>
      <c r="L1" s="4" t="inlineStr">
        <is>
          <t>Contract Date</t>
        </is>
      </c>
      <c r="M1" s="4" t="inlineStr">
        <is>
          <t>Signed Date</t>
        </is>
      </c>
      <c r="N1" s="4" t="inlineStr">
        <is>
          <t>Actual Completion Date</t>
        </is>
      </c>
      <c r="O1" s="4" t="inlineStr">
        <is>
          <t>Issued On Date</t>
        </is>
      </c>
      <c r="P1" s="4" t="inlineStr">
        <is>
          <t>Inclusions</t>
        </is>
      </c>
      <c r="Q1" s="4" t="inlineStr">
        <is>
          <t>Exclusions</t>
        </is>
      </c>
    </row>
    <row r="2">
      <c r="A2">
        <f>IF('JobPlanner Data'!A3="","",IF(ISBLANK('JobPlanner Data'!A3),"",'JobPlanner Data'!A3))</f>
        <v/>
      </c>
      <c r="B2">
        <f>IF('JobPlanner Data'!B3="","",LOWER('JobPlanner Data'!B3))</f>
        <v/>
      </c>
      <c r="C2">
        <f>IF('JobPlanner Data'!D3&lt;&gt;"","JobPlanner Data'!D3,IF('JobPlanner Data'!F3&lt;&gt;"","JobPlanner Data'!F3,""))</f>
        <v/>
      </c>
      <c r="D2">
        <f>IF('JobPlanner Data'!J3="","",LOWER('JobPlanner Data'!J3))</f>
        <v/>
      </c>
      <c r="E2">
        <f>IF('JobPlanner Data'!C3="","",IFERROR(VLOOKUP('JobPlanner Data'!C3,'Company Lookup'!A:B,2,FALSE),"[NOT FOUND]"))</f>
        <v/>
      </c>
      <c r="F2" s="5">
        <f>IF('JobPlanner Data'!G3="","",VALUE(SUBSTITUTE(SUBSTITUTE('JobPlanner Data'!G3,"$",""),",","")))</f>
        <v/>
      </c>
      <c r="G2">
        <f>"amount"</f>
        <v/>
      </c>
      <c r="H2">
        <f>IF('JobPlanner Data'!L3="","","JobPlanner Data'!L3)</f>
        <v/>
      </c>
      <c r="I2">
        <f>IF('JobPlanner Data'!H3="","","JobPlanner Data'!H3)</f>
        <v/>
      </c>
      <c r="J2">
        <f>IF('JobPlanner Data'!N3="","",IF(ISNUMBER('JobPlanner Data'!N3),TEXT('JobPlanner Data'!N3,"YYYY-MM-DD"),""))</f>
        <v/>
      </c>
      <c r="K2">
        <f>IF('JobPlanner Data'!Q3="","",IF(ISNUMBER('JobPlanner Data'!Q3),TEXT('JobPlanner Data'!Q3,"YYYY-MM-DD"),""))</f>
        <v/>
      </c>
      <c r="L2">
        <f>IF('JobPlanner Data'!I3&lt;&gt;"",IF(ISNUMBER('JobPlanner Data'!I3),TEXT('JobPlanner Data'!I3,"YYYY-MM-DD"),""),IF('JobPlanner Data'!T3&lt;&gt;"",IF(ISNUMBER('JobPlanner Data'!T3),TEXT('JobPlanner Data'!T3,"YYYY-MM-DD"),""),""))</f>
        <v/>
      </c>
      <c r="M2">
        <f>IF('JobPlanner Data'!S3="","",IF(ISNUMBER('JobPlanner Data'!S3),TEXT('JobPlanner Data'!S3,"YYYY-MM-DD"),""))</f>
        <v/>
      </c>
      <c r="N2">
        <f>IF('JobPlanner Data'!R3="","",IF(ISNUMBER('JobPlanner Data'!R3),TEXT('JobPlanner Data'!R3,"YYYY-MM-DD"),""))</f>
        <v/>
      </c>
      <c r="O2">
        <f>IF('JobPlanner Data'!U3="","",IF(ISNUMBER('JobPlanner Data'!U3),TEXT('JobPlanner Data'!U3,"YYYY-MM-DD"),""))</f>
        <v/>
      </c>
      <c r="P2">
        <f>IF('JobPlanner Data'!O3="","","JobPlanner Data'!O3)</f>
        <v/>
      </c>
      <c r="Q2">
        <f>IF('JobPlanner Data'!P3="","","JobPlanner Data'!P3)</f>
        <v/>
      </c>
    </row>
    <row r="3">
      <c r="A3">
        <f>IF('JobPlanner Data'!A4="","",IF(ISBLANK('JobPlanner Data'!A4),"",'JobPlanner Data'!A4))</f>
        <v/>
      </c>
      <c r="B3">
        <f>IF('JobPlanner Data'!B4="","",LOWER('JobPlanner Data'!B4))</f>
        <v/>
      </c>
      <c r="C3">
        <f>IF('JobPlanner Data'!D4&lt;&gt;"","JobPlanner Data'!D4,IF('JobPlanner Data'!F4&lt;&gt;"","JobPlanner Data'!F4,""))</f>
        <v/>
      </c>
      <c r="D3">
        <f>IF('JobPlanner Data'!J4="","",LOWER('JobPlanner Data'!J4))</f>
        <v/>
      </c>
      <c r="E3">
        <f>IF('JobPlanner Data'!C4="","",IFERROR(VLOOKUP('JobPlanner Data'!C4,'Company Lookup'!A:B,2,FALSE),"[NOT FOUND]"))</f>
        <v/>
      </c>
      <c r="F3" s="5">
        <f>IF('JobPlanner Data'!G4="","",VALUE(SUBSTITUTE(SUBSTITUTE('JobPlanner Data'!G4,"$",""),",","")))</f>
        <v/>
      </c>
      <c r="G3">
        <f>"amount"</f>
        <v/>
      </c>
      <c r="H3">
        <f>IF('JobPlanner Data'!L4="","","JobPlanner Data'!L4)</f>
        <v/>
      </c>
      <c r="I3">
        <f>IF('JobPlanner Data'!H4="","","JobPlanner Data'!H4)</f>
        <v/>
      </c>
      <c r="J3">
        <f>IF('JobPlanner Data'!N4="","",IF(ISNUMBER('JobPlanner Data'!N4),TEXT('JobPlanner Data'!N4,"YYYY-MM-DD"),""))</f>
        <v/>
      </c>
      <c r="K3">
        <f>IF('JobPlanner Data'!Q4="","",IF(ISNUMBER('JobPlanner Data'!Q4),TEXT('JobPlanner Data'!Q4,"YYYY-MM-DD"),""))</f>
        <v/>
      </c>
      <c r="L3">
        <f>IF('JobPlanner Data'!I4&lt;&gt;"",IF(ISNUMBER('JobPlanner Data'!I4),TEXT('JobPlanner Data'!I4,"YYYY-MM-DD"),""),IF('JobPlanner Data'!T4&lt;&gt;"",IF(ISNUMBER('JobPlanner Data'!T4),TEXT('JobPlanner Data'!T4,"YYYY-MM-DD"),""),""))</f>
        <v/>
      </c>
      <c r="M3">
        <f>IF('JobPlanner Data'!S4="","",IF(ISNUMBER('JobPlanner Data'!S4),TEXT('JobPlanner Data'!S4,"YYYY-MM-DD"),""))</f>
        <v/>
      </c>
      <c r="N3">
        <f>IF('JobPlanner Data'!R4="","",IF(ISNUMBER('JobPlanner Data'!R4),TEXT('JobPlanner Data'!R4,"YYYY-MM-DD"),""))</f>
        <v/>
      </c>
      <c r="O3">
        <f>IF('JobPlanner Data'!U4="","",IF(ISNUMBER('JobPlanner Data'!U4),TEXT('JobPlanner Data'!U4,"YYYY-MM-DD"),""))</f>
        <v/>
      </c>
      <c r="P3">
        <f>IF('JobPlanner Data'!O4="","","JobPlanner Data'!O4)</f>
        <v/>
      </c>
      <c r="Q3">
        <f>IF('JobPlanner Data'!P4="","","JobPlanner Data'!P4)</f>
        <v/>
      </c>
    </row>
    <row r="4">
      <c r="A4">
        <f>IF('JobPlanner Data'!A5="","",IF(ISBLANK('JobPlanner Data'!A5),"",'JobPlanner Data'!A5))</f>
        <v/>
      </c>
      <c r="B4">
        <f>IF('JobPlanner Data'!B5="","",LOWER('JobPlanner Data'!B5))</f>
        <v/>
      </c>
      <c r="C4">
        <f>IF('JobPlanner Data'!D5&lt;&gt;"","JobPlanner Data'!D5,IF('JobPlanner Data'!F5&lt;&gt;"","JobPlanner Data'!F5,""))</f>
        <v/>
      </c>
      <c r="D4">
        <f>IF('JobPlanner Data'!J5="","",LOWER('JobPlanner Data'!J5))</f>
        <v/>
      </c>
      <c r="E4">
        <f>IF('JobPlanner Data'!C5="","",IFERROR(VLOOKUP('JobPlanner Data'!C5,'Company Lookup'!A:B,2,FALSE),"[NOT FOUND]"))</f>
        <v/>
      </c>
      <c r="F4" s="5">
        <f>IF('JobPlanner Data'!G5="","",VALUE(SUBSTITUTE(SUBSTITUTE('JobPlanner Data'!G5,"$",""),",","")))</f>
        <v/>
      </c>
      <c r="G4">
        <f>"amount"</f>
        <v/>
      </c>
      <c r="H4">
        <f>IF('JobPlanner Data'!L5="","","JobPlanner Data'!L5)</f>
        <v/>
      </c>
      <c r="I4">
        <f>IF('JobPlanner Data'!H5="","","JobPlanner Data'!H5)</f>
        <v/>
      </c>
      <c r="J4">
        <f>IF('JobPlanner Data'!N5="","",IF(ISNUMBER('JobPlanner Data'!N5),TEXT('JobPlanner Data'!N5,"YYYY-MM-DD"),""))</f>
        <v/>
      </c>
      <c r="K4">
        <f>IF('JobPlanner Data'!Q5="","",IF(ISNUMBER('JobPlanner Data'!Q5),TEXT('JobPlanner Data'!Q5,"YYYY-MM-DD"),""))</f>
        <v/>
      </c>
      <c r="L4">
        <f>IF('JobPlanner Data'!I5&lt;&gt;"",IF(ISNUMBER('JobPlanner Data'!I5),TEXT('JobPlanner Data'!I5,"YYYY-MM-DD"),""),IF('JobPlanner Data'!T5&lt;&gt;"",IF(ISNUMBER('JobPlanner Data'!T5),TEXT('JobPlanner Data'!T5,"YYYY-MM-DD"),""),""))</f>
        <v/>
      </c>
      <c r="M4">
        <f>IF('JobPlanner Data'!S5="","",IF(ISNUMBER('JobPlanner Data'!S5),TEXT('JobPlanner Data'!S5,"YYYY-MM-DD"),""))</f>
        <v/>
      </c>
      <c r="N4">
        <f>IF('JobPlanner Data'!R5="","",IF(ISNUMBER('JobPlanner Data'!R5),TEXT('JobPlanner Data'!R5,"YYYY-MM-DD"),""))</f>
        <v/>
      </c>
      <c r="O4">
        <f>IF('JobPlanner Data'!U5="","",IF(ISNUMBER('JobPlanner Data'!U5),TEXT('JobPlanner Data'!U5,"YYYY-MM-DD"),""))</f>
        <v/>
      </c>
      <c r="P4">
        <f>IF('JobPlanner Data'!O5="","","JobPlanner Data'!O5)</f>
        <v/>
      </c>
      <c r="Q4">
        <f>IF('JobPlanner Data'!P5="","","JobPlanner Data'!P5)</f>
        <v/>
      </c>
    </row>
    <row r="5">
      <c r="A5">
        <f>IF('JobPlanner Data'!A6="","",IF(ISBLANK('JobPlanner Data'!A6),"",'JobPlanner Data'!A6))</f>
        <v/>
      </c>
      <c r="B5">
        <f>IF('JobPlanner Data'!B6="","",LOWER('JobPlanner Data'!B6))</f>
        <v/>
      </c>
      <c r="C5">
        <f>IF('JobPlanner Data'!D6&lt;&gt;"","JobPlanner Data'!D6,IF('JobPlanner Data'!F6&lt;&gt;"","JobPlanner Data'!F6,""))</f>
        <v/>
      </c>
      <c r="D5">
        <f>IF('JobPlanner Data'!J6="","",LOWER('JobPlanner Data'!J6))</f>
        <v/>
      </c>
      <c r="E5">
        <f>IF('JobPlanner Data'!C6="","",IFERROR(VLOOKUP('JobPlanner Data'!C6,'Company Lookup'!A:B,2,FALSE),"[NOT FOUND]"))</f>
        <v/>
      </c>
      <c r="F5" s="5">
        <f>IF('JobPlanner Data'!G6="","",VALUE(SUBSTITUTE(SUBSTITUTE('JobPlanner Data'!G6,"$",""),",","")))</f>
        <v/>
      </c>
      <c r="G5">
        <f>"amount"</f>
        <v/>
      </c>
      <c r="H5">
        <f>IF('JobPlanner Data'!L6="","","JobPlanner Data'!L6)</f>
        <v/>
      </c>
      <c r="I5">
        <f>IF('JobPlanner Data'!H6="","","JobPlanner Data'!H6)</f>
        <v/>
      </c>
      <c r="J5">
        <f>IF('JobPlanner Data'!N6="","",IF(ISNUMBER('JobPlanner Data'!N6),TEXT('JobPlanner Data'!N6,"YYYY-MM-DD"),""))</f>
        <v/>
      </c>
      <c r="K5">
        <f>IF('JobPlanner Data'!Q6="","",IF(ISNUMBER('JobPlanner Data'!Q6),TEXT('JobPlanner Data'!Q6,"YYYY-MM-DD"),""))</f>
        <v/>
      </c>
      <c r="L5">
        <f>IF('JobPlanner Data'!I6&lt;&gt;"",IF(ISNUMBER('JobPlanner Data'!I6),TEXT('JobPlanner Data'!I6,"YYYY-MM-DD"),""),IF('JobPlanner Data'!T6&lt;&gt;"",IF(ISNUMBER('JobPlanner Data'!T6),TEXT('JobPlanner Data'!T6,"YYYY-MM-DD"),""),""))</f>
        <v/>
      </c>
      <c r="M5">
        <f>IF('JobPlanner Data'!S6="","",IF(ISNUMBER('JobPlanner Data'!S6),TEXT('JobPlanner Data'!S6,"YYYY-MM-DD"),""))</f>
        <v/>
      </c>
      <c r="N5">
        <f>IF('JobPlanner Data'!R6="","",IF(ISNUMBER('JobPlanner Data'!R6),TEXT('JobPlanner Data'!R6,"YYYY-MM-DD"),""))</f>
        <v/>
      </c>
      <c r="O5">
        <f>IF('JobPlanner Data'!U6="","",IF(ISNUMBER('JobPlanner Data'!U6),TEXT('JobPlanner Data'!U6,"YYYY-MM-DD"),""))</f>
        <v/>
      </c>
      <c r="P5">
        <f>IF('JobPlanner Data'!O6="","","JobPlanner Data'!O6)</f>
        <v/>
      </c>
      <c r="Q5">
        <f>IF('JobPlanner Data'!P6="","","JobPlanner Data'!P6)</f>
        <v/>
      </c>
    </row>
    <row r="6">
      <c r="A6">
        <f>IF('JobPlanner Data'!A7="","",IF(ISBLANK('JobPlanner Data'!A7),"",'JobPlanner Data'!A7))</f>
        <v/>
      </c>
      <c r="B6">
        <f>IF('JobPlanner Data'!B7="","",LOWER('JobPlanner Data'!B7))</f>
        <v/>
      </c>
      <c r="C6">
        <f>IF('JobPlanner Data'!D7&lt;&gt;"","JobPlanner Data'!D7,IF('JobPlanner Data'!F7&lt;&gt;"","JobPlanner Data'!F7,""))</f>
        <v/>
      </c>
      <c r="D6">
        <f>IF('JobPlanner Data'!J7="","",LOWER('JobPlanner Data'!J7))</f>
        <v/>
      </c>
      <c r="E6">
        <f>IF('JobPlanner Data'!C7="","",IFERROR(VLOOKUP('JobPlanner Data'!C7,'Company Lookup'!A:B,2,FALSE),"[NOT FOUND]"))</f>
        <v/>
      </c>
      <c r="F6" s="5">
        <f>IF('JobPlanner Data'!G7="","",VALUE(SUBSTITUTE(SUBSTITUTE('JobPlanner Data'!G7,"$",""),",","")))</f>
        <v/>
      </c>
      <c r="G6">
        <f>"amount"</f>
        <v/>
      </c>
      <c r="H6">
        <f>IF('JobPlanner Data'!L7="","","JobPlanner Data'!L7)</f>
        <v/>
      </c>
      <c r="I6">
        <f>IF('JobPlanner Data'!H7="","","JobPlanner Data'!H7)</f>
        <v/>
      </c>
      <c r="J6">
        <f>IF('JobPlanner Data'!N7="","",IF(ISNUMBER('JobPlanner Data'!N7),TEXT('JobPlanner Data'!N7,"YYYY-MM-DD"),""))</f>
        <v/>
      </c>
      <c r="K6">
        <f>IF('JobPlanner Data'!Q7="","",IF(ISNUMBER('JobPlanner Data'!Q7),TEXT('JobPlanner Data'!Q7,"YYYY-MM-DD"),""))</f>
        <v/>
      </c>
      <c r="L6">
        <f>IF('JobPlanner Data'!I7&lt;&gt;"",IF(ISNUMBER('JobPlanner Data'!I7),TEXT('JobPlanner Data'!I7,"YYYY-MM-DD"),""),IF('JobPlanner Data'!T7&lt;&gt;"",IF(ISNUMBER('JobPlanner Data'!T7),TEXT('JobPlanner Data'!T7,"YYYY-MM-DD"),""),""))</f>
        <v/>
      </c>
      <c r="M6">
        <f>IF('JobPlanner Data'!S7="","",IF(ISNUMBER('JobPlanner Data'!S7),TEXT('JobPlanner Data'!S7,"YYYY-MM-DD"),""))</f>
        <v/>
      </c>
      <c r="N6">
        <f>IF('JobPlanner Data'!R7="","",IF(ISNUMBER('JobPlanner Data'!R7),TEXT('JobPlanner Data'!R7,"YYYY-MM-DD"),""))</f>
        <v/>
      </c>
      <c r="O6">
        <f>IF('JobPlanner Data'!U7="","",IF(ISNUMBER('JobPlanner Data'!U7),TEXT('JobPlanner Data'!U7,"YYYY-MM-DD"),""))</f>
        <v/>
      </c>
      <c r="P6">
        <f>IF('JobPlanner Data'!O7="","","JobPlanner Data'!O7)</f>
        <v/>
      </c>
      <c r="Q6">
        <f>IF('JobPlanner Data'!P7="","","JobPlanner Data'!P7)</f>
        <v/>
      </c>
    </row>
    <row r="7">
      <c r="A7">
        <f>IF('JobPlanner Data'!A8="","",IF(ISBLANK('JobPlanner Data'!A8),"",'JobPlanner Data'!A8))</f>
        <v/>
      </c>
      <c r="B7">
        <f>IF('JobPlanner Data'!B8="","",LOWER('JobPlanner Data'!B8))</f>
        <v/>
      </c>
      <c r="C7">
        <f>IF('JobPlanner Data'!D8&lt;&gt;"","JobPlanner Data'!D8,IF('JobPlanner Data'!F8&lt;&gt;"","JobPlanner Data'!F8,""))</f>
        <v/>
      </c>
      <c r="D7">
        <f>IF('JobPlanner Data'!J8="","",LOWER('JobPlanner Data'!J8))</f>
        <v/>
      </c>
      <c r="E7">
        <f>IF('JobPlanner Data'!C8="","",IFERROR(VLOOKUP('JobPlanner Data'!C8,'Company Lookup'!A:B,2,FALSE),"[NOT FOUND]"))</f>
        <v/>
      </c>
      <c r="F7" s="5">
        <f>IF('JobPlanner Data'!G8="","",VALUE(SUBSTITUTE(SUBSTITUTE('JobPlanner Data'!G8,"$",""),",","")))</f>
        <v/>
      </c>
      <c r="G7">
        <f>"amount"</f>
        <v/>
      </c>
      <c r="H7">
        <f>IF('JobPlanner Data'!L8="","","JobPlanner Data'!L8)</f>
        <v/>
      </c>
      <c r="I7">
        <f>IF('JobPlanner Data'!H8="","","JobPlanner Data'!H8)</f>
        <v/>
      </c>
      <c r="J7">
        <f>IF('JobPlanner Data'!N8="","",IF(ISNUMBER('JobPlanner Data'!N8),TEXT('JobPlanner Data'!N8,"YYYY-MM-DD"),""))</f>
        <v/>
      </c>
      <c r="K7">
        <f>IF('JobPlanner Data'!Q8="","",IF(ISNUMBER('JobPlanner Data'!Q8),TEXT('JobPlanner Data'!Q8,"YYYY-MM-DD"),""))</f>
        <v/>
      </c>
      <c r="L7">
        <f>IF('JobPlanner Data'!I8&lt;&gt;"",IF(ISNUMBER('JobPlanner Data'!I8),TEXT('JobPlanner Data'!I8,"YYYY-MM-DD"),""),IF('JobPlanner Data'!T8&lt;&gt;"",IF(ISNUMBER('JobPlanner Data'!T8),TEXT('JobPlanner Data'!T8,"YYYY-MM-DD"),""),""))</f>
        <v/>
      </c>
      <c r="M7">
        <f>IF('JobPlanner Data'!S8="","",IF(ISNUMBER('JobPlanner Data'!S8),TEXT('JobPlanner Data'!S8,"YYYY-MM-DD"),""))</f>
        <v/>
      </c>
      <c r="N7">
        <f>IF('JobPlanner Data'!R8="","",IF(ISNUMBER('JobPlanner Data'!R8),TEXT('JobPlanner Data'!R8,"YYYY-MM-DD"),""))</f>
        <v/>
      </c>
      <c r="O7">
        <f>IF('JobPlanner Data'!U8="","",IF(ISNUMBER('JobPlanner Data'!U8),TEXT('JobPlanner Data'!U8,"YYYY-MM-DD"),""))</f>
        <v/>
      </c>
      <c r="P7">
        <f>IF('JobPlanner Data'!O8="","","JobPlanner Data'!O8)</f>
        <v/>
      </c>
      <c r="Q7">
        <f>IF('JobPlanner Data'!P8="","","JobPlanner Data'!P8)</f>
        <v/>
      </c>
    </row>
    <row r="8">
      <c r="A8">
        <f>IF('JobPlanner Data'!A9="","",IF(ISBLANK('JobPlanner Data'!A9),"",'JobPlanner Data'!A9))</f>
        <v/>
      </c>
      <c r="B8">
        <f>IF('JobPlanner Data'!B9="","",LOWER('JobPlanner Data'!B9))</f>
        <v/>
      </c>
      <c r="C8">
        <f>IF('JobPlanner Data'!D9&lt;&gt;"","JobPlanner Data'!D9,IF('JobPlanner Data'!F9&lt;&gt;"","JobPlanner Data'!F9,""))</f>
        <v/>
      </c>
      <c r="D8">
        <f>IF('JobPlanner Data'!J9="","",LOWER('JobPlanner Data'!J9))</f>
        <v/>
      </c>
      <c r="E8">
        <f>IF('JobPlanner Data'!C9="","",IFERROR(VLOOKUP('JobPlanner Data'!C9,'Company Lookup'!A:B,2,FALSE),"[NOT FOUND]"))</f>
        <v/>
      </c>
      <c r="F8" s="5">
        <f>IF('JobPlanner Data'!G9="","",VALUE(SUBSTITUTE(SUBSTITUTE('JobPlanner Data'!G9,"$",""),",","")))</f>
        <v/>
      </c>
      <c r="G8">
        <f>"amount"</f>
        <v/>
      </c>
      <c r="H8">
        <f>IF('JobPlanner Data'!L9="","","JobPlanner Data'!L9)</f>
        <v/>
      </c>
      <c r="I8">
        <f>IF('JobPlanner Data'!H9="","","JobPlanner Data'!H9)</f>
        <v/>
      </c>
      <c r="J8">
        <f>IF('JobPlanner Data'!N9="","",IF(ISNUMBER('JobPlanner Data'!N9),TEXT('JobPlanner Data'!N9,"YYYY-MM-DD"),""))</f>
        <v/>
      </c>
      <c r="K8">
        <f>IF('JobPlanner Data'!Q9="","",IF(ISNUMBER('JobPlanner Data'!Q9),TEXT('JobPlanner Data'!Q9,"YYYY-MM-DD"),""))</f>
        <v/>
      </c>
      <c r="L8">
        <f>IF('JobPlanner Data'!I9&lt;&gt;"",IF(ISNUMBER('JobPlanner Data'!I9),TEXT('JobPlanner Data'!I9,"YYYY-MM-DD"),""),IF('JobPlanner Data'!T9&lt;&gt;"",IF(ISNUMBER('JobPlanner Data'!T9),TEXT('JobPlanner Data'!T9,"YYYY-MM-DD"),""),""))</f>
        <v/>
      </c>
      <c r="M8">
        <f>IF('JobPlanner Data'!S9="","",IF(ISNUMBER('JobPlanner Data'!S9),TEXT('JobPlanner Data'!S9,"YYYY-MM-DD"),""))</f>
        <v/>
      </c>
      <c r="N8">
        <f>IF('JobPlanner Data'!R9="","",IF(ISNUMBER('JobPlanner Data'!R9),TEXT('JobPlanner Data'!R9,"YYYY-MM-DD"),""))</f>
        <v/>
      </c>
      <c r="O8">
        <f>IF('JobPlanner Data'!U9="","",IF(ISNUMBER('JobPlanner Data'!U9),TEXT('JobPlanner Data'!U9,"YYYY-MM-DD"),""))</f>
        <v/>
      </c>
      <c r="P8">
        <f>IF('JobPlanner Data'!O9="","","JobPlanner Data'!O9)</f>
        <v/>
      </c>
      <c r="Q8">
        <f>IF('JobPlanner Data'!P9="","","JobPlanner Data'!P9)</f>
        <v/>
      </c>
    </row>
    <row r="9">
      <c r="A9">
        <f>IF('JobPlanner Data'!A10="","",IF(ISBLANK('JobPlanner Data'!A10),"",'JobPlanner Data'!A10))</f>
        <v/>
      </c>
      <c r="B9">
        <f>IF('JobPlanner Data'!B10="","",LOWER('JobPlanner Data'!B10))</f>
        <v/>
      </c>
      <c r="C9">
        <f>IF('JobPlanner Data'!D10&lt;&gt;"","JobPlanner Data'!D10,IF('JobPlanner Data'!F10&lt;&gt;"","JobPlanner Data'!F10,""))</f>
        <v/>
      </c>
      <c r="D9">
        <f>IF('JobPlanner Data'!J10="","",LOWER('JobPlanner Data'!J10))</f>
        <v/>
      </c>
      <c r="E9">
        <f>IF('JobPlanner Data'!C10="","",IFERROR(VLOOKUP('JobPlanner Data'!C10,'Company Lookup'!A:B,2,FALSE),"[NOT FOUND]"))</f>
        <v/>
      </c>
      <c r="F9" s="5">
        <f>IF('JobPlanner Data'!G10="","",VALUE(SUBSTITUTE(SUBSTITUTE('JobPlanner Data'!G10,"$",""),",","")))</f>
        <v/>
      </c>
      <c r="G9">
        <f>"amount"</f>
        <v/>
      </c>
      <c r="H9">
        <f>IF('JobPlanner Data'!L10="","","JobPlanner Data'!L10)</f>
        <v/>
      </c>
      <c r="I9">
        <f>IF('JobPlanner Data'!H10="","","JobPlanner Data'!H10)</f>
        <v/>
      </c>
      <c r="J9">
        <f>IF('JobPlanner Data'!N10="","",IF(ISNUMBER('JobPlanner Data'!N10),TEXT('JobPlanner Data'!N10,"YYYY-MM-DD"),""))</f>
        <v/>
      </c>
      <c r="K9">
        <f>IF('JobPlanner Data'!Q10="","",IF(ISNUMBER('JobPlanner Data'!Q10),TEXT('JobPlanner Data'!Q10,"YYYY-MM-DD"),""))</f>
        <v/>
      </c>
      <c r="L9">
        <f>IF('JobPlanner Data'!I10&lt;&gt;"",IF(ISNUMBER('JobPlanner Data'!I10),TEXT('JobPlanner Data'!I10,"YYYY-MM-DD"),""),IF('JobPlanner Data'!T10&lt;&gt;"",IF(ISNUMBER('JobPlanner Data'!T10),TEXT('JobPlanner Data'!T10,"YYYY-MM-DD"),""),""))</f>
        <v/>
      </c>
      <c r="M9">
        <f>IF('JobPlanner Data'!S10="","",IF(ISNUMBER('JobPlanner Data'!S10),TEXT('JobPlanner Data'!S10,"YYYY-MM-DD"),""))</f>
        <v/>
      </c>
      <c r="N9">
        <f>IF('JobPlanner Data'!R10="","",IF(ISNUMBER('JobPlanner Data'!R10),TEXT('JobPlanner Data'!R10,"YYYY-MM-DD"),""))</f>
        <v/>
      </c>
      <c r="O9">
        <f>IF('JobPlanner Data'!U10="","",IF(ISNUMBER('JobPlanner Data'!U10),TEXT('JobPlanner Data'!U10,"YYYY-MM-DD"),""))</f>
        <v/>
      </c>
      <c r="P9">
        <f>IF('JobPlanner Data'!O10="","","JobPlanner Data'!O10)</f>
        <v/>
      </c>
      <c r="Q9">
        <f>IF('JobPlanner Data'!P10="","","JobPlanner Data'!P10)</f>
        <v/>
      </c>
    </row>
    <row r="10">
      <c r="A10">
        <f>IF('JobPlanner Data'!A11="","",IF(ISBLANK('JobPlanner Data'!A11),"",'JobPlanner Data'!A11))</f>
        <v/>
      </c>
      <c r="B10">
        <f>IF('JobPlanner Data'!B11="","",LOWER('JobPlanner Data'!B11))</f>
        <v/>
      </c>
      <c r="C10">
        <f>IF('JobPlanner Data'!D11&lt;&gt;"","JobPlanner Data'!D11,IF('JobPlanner Data'!F11&lt;&gt;"","JobPlanner Data'!F11,""))</f>
        <v/>
      </c>
      <c r="D10">
        <f>IF('JobPlanner Data'!J11="","",LOWER('JobPlanner Data'!J11))</f>
        <v/>
      </c>
      <c r="E10">
        <f>IF('JobPlanner Data'!C11="","",IFERROR(VLOOKUP('JobPlanner Data'!C11,'Company Lookup'!A:B,2,FALSE),"[NOT FOUND]"))</f>
        <v/>
      </c>
      <c r="F10" s="5">
        <f>IF('JobPlanner Data'!G11="","",VALUE(SUBSTITUTE(SUBSTITUTE('JobPlanner Data'!G11,"$",""),",","")))</f>
        <v/>
      </c>
      <c r="G10">
        <f>"amount"</f>
        <v/>
      </c>
      <c r="H10">
        <f>IF('JobPlanner Data'!L11="","","JobPlanner Data'!L11)</f>
        <v/>
      </c>
      <c r="I10">
        <f>IF('JobPlanner Data'!H11="","","JobPlanner Data'!H11)</f>
        <v/>
      </c>
      <c r="J10">
        <f>IF('JobPlanner Data'!N11="","",IF(ISNUMBER('JobPlanner Data'!N11),TEXT('JobPlanner Data'!N11,"YYYY-MM-DD"),""))</f>
        <v/>
      </c>
      <c r="K10">
        <f>IF('JobPlanner Data'!Q11="","",IF(ISNUMBER('JobPlanner Data'!Q11),TEXT('JobPlanner Data'!Q11,"YYYY-MM-DD"),""))</f>
        <v/>
      </c>
      <c r="L10">
        <f>IF('JobPlanner Data'!I11&lt;&gt;"",IF(ISNUMBER('JobPlanner Data'!I11),TEXT('JobPlanner Data'!I11,"YYYY-MM-DD"),""),IF('JobPlanner Data'!T11&lt;&gt;"",IF(ISNUMBER('JobPlanner Data'!T11),TEXT('JobPlanner Data'!T11,"YYYY-MM-DD"),""),""))</f>
        <v/>
      </c>
      <c r="M10">
        <f>IF('JobPlanner Data'!S11="","",IF(ISNUMBER('JobPlanner Data'!S11),TEXT('JobPlanner Data'!S11,"YYYY-MM-DD"),""))</f>
        <v/>
      </c>
      <c r="N10">
        <f>IF('JobPlanner Data'!R11="","",IF(ISNUMBER('JobPlanner Data'!R11),TEXT('JobPlanner Data'!R11,"YYYY-MM-DD"),""))</f>
        <v/>
      </c>
      <c r="O10">
        <f>IF('JobPlanner Data'!U11="","",IF(ISNUMBER('JobPlanner Data'!U11),TEXT('JobPlanner Data'!U11,"YYYY-MM-DD"),""))</f>
        <v/>
      </c>
      <c r="P10">
        <f>IF('JobPlanner Data'!O11="","","JobPlanner Data'!O11)</f>
        <v/>
      </c>
      <c r="Q10">
        <f>IF('JobPlanner Data'!P11="","","JobPlanner Data'!P11)</f>
        <v/>
      </c>
    </row>
    <row r="11">
      <c r="A11">
        <f>IF('JobPlanner Data'!A12="","",IF(ISBLANK('JobPlanner Data'!A12),"",'JobPlanner Data'!A12))</f>
        <v/>
      </c>
      <c r="B11">
        <f>IF('JobPlanner Data'!B12="","",LOWER('JobPlanner Data'!B12))</f>
        <v/>
      </c>
      <c r="C11">
        <f>IF('JobPlanner Data'!D12&lt;&gt;"","JobPlanner Data'!D12,IF('JobPlanner Data'!F12&lt;&gt;"","JobPlanner Data'!F12,""))</f>
        <v/>
      </c>
      <c r="D11">
        <f>IF('JobPlanner Data'!J12="","",LOWER('JobPlanner Data'!J12))</f>
        <v/>
      </c>
      <c r="E11">
        <f>IF('JobPlanner Data'!C12="","",IFERROR(VLOOKUP('JobPlanner Data'!C12,'Company Lookup'!A:B,2,FALSE),"[NOT FOUND]"))</f>
        <v/>
      </c>
      <c r="F11" s="5">
        <f>IF('JobPlanner Data'!G12="","",VALUE(SUBSTITUTE(SUBSTITUTE('JobPlanner Data'!G12,"$",""),",","")))</f>
        <v/>
      </c>
      <c r="G11">
        <f>"amount"</f>
        <v/>
      </c>
      <c r="H11">
        <f>IF('JobPlanner Data'!L12="","","JobPlanner Data'!L12)</f>
        <v/>
      </c>
      <c r="I11">
        <f>IF('JobPlanner Data'!H12="","","JobPlanner Data'!H12)</f>
        <v/>
      </c>
      <c r="J11">
        <f>IF('JobPlanner Data'!N12="","",IF(ISNUMBER('JobPlanner Data'!N12),TEXT('JobPlanner Data'!N12,"YYYY-MM-DD"),""))</f>
        <v/>
      </c>
      <c r="K11">
        <f>IF('JobPlanner Data'!Q12="","",IF(ISNUMBER('JobPlanner Data'!Q12),TEXT('JobPlanner Data'!Q12,"YYYY-MM-DD"),""))</f>
        <v/>
      </c>
      <c r="L11">
        <f>IF('JobPlanner Data'!I12&lt;&gt;"",IF(ISNUMBER('JobPlanner Data'!I12),TEXT('JobPlanner Data'!I12,"YYYY-MM-DD"),""),IF('JobPlanner Data'!T12&lt;&gt;"",IF(ISNUMBER('JobPlanner Data'!T12),TEXT('JobPlanner Data'!T12,"YYYY-MM-DD"),""),""))</f>
        <v/>
      </c>
      <c r="M11">
        <f>IF('JobPlanner Data'!S12="","",IF(ISNUMBER('JobPlanner Data'!S12),TEXT('JobPlanner Data'!S12,"YYYY-MM-DD"),""))</f>
        <v/>
      </c>
      <c r="N11">
        <f>IF('JobPlanner Data'!R12="","",IF(ISNUMBER('JobPlanner Data'!R12),TEXT('JobPlanner Data'!R12,"YYYY-MM-DD"),""))</f>
        <v/>
      </c>
      <c r="O11">
        <f>IF('JobPlanner Data'!U12="","",IF(ISNUMBER('JobPlanner Data'!U12),TEXT('JobPlanner Data'!U12,"YYYY-MM-DD"),""))</f>
        <v/>
      </c>
      <c r="P11">
        <f>IF('JobPlanner Data'!O12="","","JobPlanner Data'!O12)</f>
        <v/>
      </c>
      <c r="Q11">
        <f>IF('JobPlanner Data'!P12="","","JobPlanner Data'!P12)</f>
        <v/>
      </c>
    </row>
    <row r="12">
      <c r="A12">
        <f>IF('JobPlanner Data'!A13="","",IF(ISBLANK('JobPlanner Data'!A13),"",'JobPlanner Data'!A13))</f>
        <v/>
      </c>
      <c r="B12">
        <f>IF('JobPlanner Data'!B13="","",LOWER('JobPlanner Data'!B13))</f>
        <v/>
      </c>
      <c r="C12">
        <f>IF('JobPlanner Data'!D13&lt;&gt;"","JobPlanner Data'!D13,IF('JobPlanner Data'!F13&lt;&gt;"","JobPlanner Data'!F13,""))</f>
        <v/>
      </c>
      <c r="D12">
        <f>IF('JobPlanner Data'!J13="","",LOWER('JobPlanner Data'!J13))</f>
        <v/>
      </c>
      <c r="E12">
        <f>IF('JobPlanner Data'!C13="","",IFERROR(VLOOKUP('JobPlanner Data'!C13,'Company Lookup'!A:B,2,FALSE),"[NOT FOUND]"))</f>
        <v/>
      </c>
      <c r="F12" s="5">
        <f>IF('JobPlanner Data'!G13="","",VALUE(SUBSTITUTE(SUBSTITUTE('JobPlanner Data'!G13,"$",""),",","")))</f>
        <v/>
      </c>
      <c r="G12">
        <f>"amount"</f>
        <v/>
      </c>
      <c r="H12">
        <f>IF('JobPlanner Data'!L13="","","JobPlanner Data'!L13)</f>
        <v/>
      </c>
      <c r="I12">
        <f>IF('JobPlanner Data'!H13="","","JobPlanner Data'!H13)</f>
        <v/>
      </c>
      <c r="J12">
        <f>IF('JobPlanner Data'!N13="","",IF(ISNUMBER('JobPlanner Data'!N13),TEXT('JobPlanner Data'!N13,"YYYY-MM-DD"),""))</f>
        <v/>
      </c>
      <c r="K12">
        <f>IF('JobPlanner Data'!Q13="","",IF(ISNUMBER('JobPlanner Data'!Q13),TEXT('JobPlanner Data'!Q13,"YYYY-MM-DD"),""))</f>
        <v/>
      </c>
      <c r="L12">
        <f>IF('JobPlanner Data'!I13&lt;&gt;"",IF(ISNUMBER('JobPlanner Data'!I13),TEXT('JobPlanner Data'!I13,"YYYY-MM-DD"),""),IF('JobPlanner Data'!T13&lt;&gt;"",IF(ISNUMBER('JobPlanner Data'!T13),TEXT('JobPlanner Data'!T13,"YYYY-MM-DD"),""),""))</f>
        <v/>
      </c>
      <c r="M12">
        <f>IF('JobPlanner Data'!S13="","",IF(ISNUMBER('JobPlanner Data'!S13),TEXT('JobPlanner Data'!S13,"YYYY-MM-DD"),""))</f>
        <v/>
      </c>
      <c r="N12">
        <f>IF('JobPlanner Data'!R13="","",IF(ISNUMBER('JobPlanner Data'!R13),TEXT('JobPlanner Data'!R13,"YYYY-MM-DD"),""))</f>
        <v/>
      </c>
      <c r="O12">
        <f>IF('JobPlanner Data'!U13="","",IF(ISNUMBER('JobPlanner Data'!U13),TEXT('JobPlanner Data'!U13,"YYYY-MM-DD"),""))</f>
        <v/>
      </c>
      <c r="P12">
        <f>IF('JobPlanner Data'!O13="","","JobPlanner Data'!O13)</f>
        <v/>
      </c>
      <c r="Q12">
        <f>IF('JobPlanner Data'!P13="","","JobPlanner Data'!P13)</f>
        <v/>
      </c>
    </row>
    <row r="13">
      <c r="A13">
        <f>IF('JobPlanner Data'!A14="","",IF(ISBLANK('JobPlanner Data'!A14),"",'JobPlanner Data'!A14))</f>
        <v/>
      </c>
      <c r="B13">
        <f>IF('JobPlanner Data'!B14="","",LOWER('JobPlanner Data'!B14))</f>
        <v/>
      </c>
      <c r="C13">
        <f>IF('JobPlanner Data'!D14&lt;&gt;"","JobPlanner Data'!D14,IF('JobPlanner Data'!F14&lt;&gt;"","JobPlanner Data'!F14,""))</f>
        <v/>
      </c>
      <c r="D13">
        <f>IF('JobPlanner Data'!J14="","",LOWER('JobPlanner Data'!J14))</f>
        <v/>
      </c>
      <c r="E13">
        <f>IF('JobPlanner Data'!C14="","",IFERROR(VLOOKUP('JobPlanner Data'!C14,'Company Lookup'!A:B,2,FALSE),"[NOT FOUND]"))</f>
        <v/>
      </c>
      <c r="F13" s="5">
        <f>IF('JobPlanner Data'!G14="","",VALUE(SUBSTITUTE(SUBSTITUTE('JobPlanner Data'!G14,"$",""),",","")))</f>
        <v/>
      </c>
      <c r="G13">
        <f>"amount"</f>
        <v/>
      </c>
      <c r="H13">
        <f>IF('JobPlanner Data'!L14="","","JobPlanner Data'!L14)</f>
        <v/>
      </c>
      <c r="I13">
        <f>IF('JobPlanner Data'!H14="","","JobPlanner Data'!H14)</f>
        <v/>
      </c>
      <c r="J13">
        <f>IF('JobPlanner Data'!N14="","",IF(ISNUMBER('JobPlanner Data'!N14),TEXT('JobPlanner Data'!N14,"YYYY-MM-DD"),""))</f>
        <v/>
      </c>
      <c r="K13">
        <f>IF('JobPlanner Data'!Q14="","",IF(ISNUMBER('JobPlanner Data'!Q14),TEXT('JobPlanner Data'!Q14,"YYYY-MM-DD"),""))</f>
        <v/>
      </c>
      <c r="L13">
        <f>IF('JobPlanner Data'!I14&lt;&gt;"",IF(ISNUMBER('JobPlanner Data'!I14),TEXT('JobPlanner Data'!I14,"YYYY-MM-DD"),""),IF('JobPlanner Data'!T14&lt;&gt;"",IF(ISNUMBER('JobPlanner Data'!T14),TEXT('JobPlanner Data'!T14,"YYYY-MM-DD"),""),""))</f>
        <v/>
      </c>
      <c r="M13">
        <f>IF('JobPlanner Data'!S14="","",IF(ISNUMBER('JobPlanner Data'!S14),TEXT('JobPlanner Data'!S14,"YYYY-MM-DD"),""))</f>
        <v/>
      </c>
      <c r="N13">
        <f>IF('JobPlanner Data'!R14="","",IF(ISNUMBER('JobPlanner Data'!R14),TEXT('JobPlanner Data'!R14,"YYYY-MM-DD"),""))</f>
        <v/>
      </c>
      <c r="O13">
        <f>IF('JobPlanner Data'!U14="","",IF(ISNUMBER('JobPlanner Data'!U14),TEXT('JobPlanner Data'!U14,"YYYY-MM-DD"),""))</f>
        <v/>
      </c>
      <c r="P13">
        <f>IF('JobPlanner Data'!O14="","","JobPlanner Data'!O14)</f>
        <v/>
      </c>
      <c r="Q13">
        <f>IF('JobPlanner Data'!P14="","","JobPlanner Data'!P14)</f>
        <v/>
      </c>
    </row>
    <row r="14">
      <c r="A14">
        <f>IF('JobPlanner Data'!A15="","",IF(ISBLANK('JobPlanner Data'!A15),"",'JobPlanner Data'!A15))</f>
        <v/>
      </c>
      <c r="B14">
        <f>IF('JobPlanner Data'!B15="","",LOWER('JobPlanner Data'!B15))</f>
        <v/>
      </c>
      <c r="C14">
        <f>IF('JobPlanner Data'!D15&lt;&gt;"","JobPlanner Data'!D15,IF('JobPlanner Data'!F15&lt;&gt;"","JobPlanner Data'!F15,""))</f>
        <v/>
      </c>
      <c r="D14">
        <f>IF('JobPlanner Data'!J15="","",LOWER('JobPlanner Data'!J15))</f>
        <v/>
      </c>
      <c r="E14">
        <f>IF('JobPlanner Data'!C15="","",IFERROR(VLOOKUP('JobPlanner Data'!C15,'Company Lookup'!A:B,2,FALSE),"[NOT FOUND]"))</f>
        <v/>
      </c>
      <c r="F14" s="5">
        <f>IF('JobPlanner Data'!G15="","",VALUE(SUBSTITUTE(SUBSTITUTE('JobPlanner Data'!G15,"$",""),",","")))</f>
        <v/>
      </c>
      <c r="G14">
        <f>"amount"</f>
        <v/>
      </c>
      <c r="H14">
        <f>IF('JobPlanner Data'!L15="","","JobPlanner Data'!L15)</f>
        <v/>
      </c>
      <c r="I14">
        <f>IF('JobPlanner Data'!H15="","","JobPlanner Data'!H15)</f>
        <v/>
      </c>
      <c r="J14">
        <f>IF('JobPlanner Data'!N15="","",IF(ISNUMBER('JobPlanner Data'!N15),TEXT('JobPlanner Data'!N15,"YYYY-MM-DD"),""))</f>
        <v/>
      </c>
      <c r="K14">
        <f>IF('JobPlanner Data'!Q15="","",IF(ISNUMBER('JobPlanner Data'!Q15),TEXT('JobPlanner Data'!Q15,"YYYY-MM-DD"),""))</f>
        <v/>
      </c>
      <c r="L14">
        <f>IF('JobPlanner Data'!I15&lt;&gt;"",IF(ISNUMBER('JobPlanner Data'!I15),TEXT('JobPlanner Data'!I15,"YYYY-MM-DD"),""),IF('JobPlanner Data'!T15&lt;&gt;"",IF(ISNUMBER('JobPlanner Data'!T15),TEXT('JobPlanner Data'!T15,"YYYY-MM-DD"),""),""))</f>
        <v/>
      </c>
      <c r="M14">
        <f>IF('JobPlanner Data'!S15="","",IF(ISNUMBER('JobPlanner Data'!S15),TEXT('JobPlanner Data'!S15,"YYYY-MM-DD"),""))</f>
        <v/>
      </c>
      <c r="N14">
        <f>IF('JobPlanner Data'!R15="","",IF(ISNUMBER('JobPlanner Data'!R15),TEXT('JobPlanner Data'!R15,"YYYY-MM-DD"),""))</f>
        <v/>
      </c>
      <c r="O14">
        <f>IF('JobPlanner Data'!U15="","",IF(ISNUMBER('JobPlanner Data'!U15),TEXT('JobPlanner Data'!U15,"YYYY-MM-DD"),""))</f>
        <v/>
      </c>
      <c r="P14">
        <f>IF('JobPlanner Data'!O15="","","JobPlanner Data'!O15)</f>
        <v/>
      </c>
      <c r="Q14">
        <f>IF('JobPlanner Data'!P15="","","JobPlanner Data'!P15)</f>
        <v/>
      </c>
    </row>
    <row r="15">
      <c r="A15">
        <f>IF('JobPlanner Data'!A16="","",IF(ISBLANK('JobPlanner Data'!A16),"",'JobPlanner Data'!A16))</f>
        <v/>
      </c>
      <c r="B15">
        <f>IF('JobPlanner Data'!B16="","",LOWER('JobPlanner Data'!B16))</f>
        <v/>
      </c>
      <c r="C15">
        <f>IF('JobPlanner Data'!D16&lt;&gt;"","JobPlanner Data'!D16,IF('JobPlanner Data'!F16&lt;&gt;"","JobPlanner Data'!F16,""))</f>
        <v/>
      </c>
      <c r="D15">
        <f>IF('JobPlanner Data'!J16="","",LOWER('JobPlanner Data'!J16))</f>
        <v/>
      </c>
      <c r="E15">
        <f>IF('JobPlanner Data'!C16="","",IFERROR(VLOOKUP('JobPlanner Data'!C16,'Company Lookup'!A:B,2,FALSE),"[NOT FOUND]"))</f>
        <v/>
      </c>
      <c r="F15" s="5">
        <f>IF('JobPlanner Data'!G16="","",VALUE(SUBSTITUTE(SUBSTITUTE('JobPlanner Data'!G16,"$",""),",","")))</f>
        <v/>
      </c>
      <c r="G15">
        <f>"amount"</f>
        <v/>
      </c>
      <c r="H15">
        <f>IF('JobPlanner Data'!L16="","","JobPlanner Data'!L16)</f>
        <v/>
      </c>
      <c r="I15">
        <f>IF('JobPlanner Data'!H16="","","JobPlanner Data'!H16)</f>
        <v/>
      </c>
      <c r="J15">
        <f>IF('JobPlanner Data'!N16="","",IF(ISNUMBER('JobPlanner Data'!N16),TEXT('JobPlanner Data'!N16,"YYYY-MM-DD"),""))</f>
        <v/>
      </c>
      <c r="K15">
        <f>IF('JobPlanner Data'!Q16="","",IF(ISNUMBER('JobPlanner Data'!Q16),TEXT('JobPlanner Data'!Q16,"YYYY-MM-DD"),""))</f>
        <v/>
      </c>
      <c r="L15">
        <f>IF('JobPlanner Data'!I16&lt;&gt;"",IF(ISNUMBER('JobPlanner Data'!I16),TEXT('JobPlanner Data'!I16,"YYYY-MM-DD"),""),IF('JobPlanner Data'!T16&lt;&gt;"",IF(ISNUMBER('JobPlanner Data'!T16),TEXT('JobPlanner Data'!T16,"YYYY-MM-DD"),""),""))</f>
        <v/>
      </c>
      <c r="M15">
        <f>IF('JobPlanner Data'!S16="","",IF(ISNUMBER('JobPlanner Data'!S16),TEXT('JobPlanner Data'!S16,"YYYY-MM-DD"),""))</f>
        <v/>
      </c>
      <c r="N15">
        <f>IF('JobPlanner Data'!R16="","",IF(ISNUMBER('JobPlanner Data'!R16),TEXT('JobPlanner Data'!R16,"YYYY-MM-DD"),""))</f>
        <v/>
      </c>
      <c r="O15">
        <f>IF('JobPlanner Data'!U16="","",IF(ISNUMBER('JobPlanner Data'!U16),TEXT('JobPlanner Data'!U16,"YYYY-MM-DD"),""))</f>
        <v/>
      </c>
      <c r="P15">
        <f>IF('JobPlanner Data'!O16="","","JobPlanner Data'!O16)</f>
        <v/>
      </c>
      <c r="Q15">
        <f>IF('JobPlanner Data'!P16="","","JobPlanner Data'!P16)</f>
        <v/>
      </c>
    </row>
    <row r="16">
      <c r="A16">
        <f>IF('JobPlanner Data'!A17="","",IF(ISBLANK('JobPlanner Data'!A17),"",'JobPlanner Data'!A17))</f>
        <v/>
      </c>
      <c r="B16">
        <f>IF('JobPlanner Data'!B17="","",LOWER('JobPlanner Data'!B17))</f>
        <v/>
      </c>
      <c r="C16">
        <f>IF('JobPlanner Data'!D17&lt;&gt;"","JobPlanner Data'!D17,IF('JobPlanner Data'!F17&lt;&gt;"","JobPlanner Data'!F17,""))</f>
        <v/>
      </c>
      <c r="D16">
        <f>IF('JobPlanner Data'!J17="","",LOWER('JobPlanner Data'!J17))</f>
        <v/>
      </c>
      <c r="E16">
        <f>IF('JobPlanner Data'!C17="","",IFERROR(VLOOKUP('JobPlanner Data'!C17,'Company Lookup'!A:B,2,FALSE),"[NOT FOUND]"))</f>
        <v/>
      </c>
      <c r="F16" s="5">
        <f>IF('JobPlanner Data'!G17="","",VALUE(SUBSTITUTE(SUBSTITUTE('JobPlanner Data'!G17,"$",""),",","")))</f>
        <v/>
      </c>
      <c r="G16">
        <f>"amount"</f>
        <v/>
      </c>
      <c r="H16">
        <f>IF('JobPlanner Data'!L17="","","JobPlanner Data'!L17)</f>
        <v/>
      </c>
      <c r="I16">
        <f>IF('JobPlanner Data'!H17="","","JobPlanner Data'!H17)</f>
        <v/>
      </c>
      <c r="J16">
        <f>IF('JobPlanner Data'!N17="","",IF(ISNUMBER('JobPlanner Data'!N17),TEXT('JobPlanner Data'!N17,"YYYY-MM-DD"),""))</f>
        <v/>
      </c>
      <c r="K16">
        <f>IF('JobPlanner Data'!Q17="","",IF(ISNUMBER('JobPlanner Data'!Q17),TEXT('JobPlanner Data'!Q17,"YYYY-MM-DD"),""))</f>
        <v/>
      </c>
      <c r="L16">
        <f>IF('JobPlanner Data'!I17&lt;&gt;"",IF(ISNUMBER('JobPlanner Data'!I17),TEXT('JobPlanner Data'!I17,"YYYY-MM-DD"),""),IF('JobPlanner Data'!T17&lt;&gt;"",IF(ISNUMBER('JobPlanner Data'!T17),TEXT('JobPlanner Data'!T17,"YYYY-MM-DD"),""),""))</f>
        <v/>
      </c>
      <c r="M16">
        <f>IF('JobPlanner Data'!S17="","",IF(ISNUMBER('JobPlanner Data'!S17),TEXT('JobPlanner Data'!S17,"YYYY-MM-DD"),""))</f>
        <v/>
      </c>
      <c r="N16">
        <f>IF('JobPlanner Data'!R17="","",IF(ISNUMBER('JobPlanner Data'!R17),TEXT('JobPlanner Data'!R17,"YYYY-MM-DD"),""))</f>
        <v/>
      </c>
      <c r="O16">
        <f>IF('JobPlanner Data'!U17="","",IF(ISNUMBER('JobPlanner Data'!U17),TEXT('JobPlanner Data'!U17,"YYYY-MM-DD"),""))</f>
        <v/>
      </c>
      <c r="P16">
        <f>IF('JobPlanner Data'!O17="","","JobPlanner Data'!O17)</f>
        <v/>
      </c>
      <c r="Q16">
        <f>IF('JobPlanner Data'!P17="","","JobPlanner Data'!P17)</f>
        <v/>
      </c>
    </row>
    <row r="17">
      <c r="A17">
        <f>IF('JobPlanner Data'!A18="","",IF(ISBLANK('JobPlanner Data'!A18),"",'JobPlanner Data'!A18))</f>
        <v/>
      </c>
      <c r="B17">
        <f>IF('JobPlanner Data'!B18="","",LOWER('JobPlanner Data'!B18))</f>
        <v/>
      </c>
      <c r="C17">
        <f>IF('JobPlanner Data'!D18&lt;&gt;"","JobPlanner Data'!D18,IF('JobPlanner Data'!F18&lt;&gt;"","JobPlanner Data'!F18,""))</f>
        <v/>
      </c>
      <c r="D17">
        <f>IF('JobPlanner Data'!J18="","",LOWER('JobPlanner Data'!J18))</f>
        <v/>
      </c>
      <c r="E17">
        <f>IF('JobPlanner Data'!C18="","",IFERROR(VLOOKUP('JobPlanner Data'!C18,'Company Lookup'!A:B,2,FALSE),"[NOT FOUND]"))</f>
        <v/>
      </c>
      <c r="F17" s="5">
        <f>IF('JobPlanner Data'!G18="","",VALUE(SUBSTITUTE(SUBSTITUTE('JobPlanner Data'!G18,"$",""),",","")))</f>
        <v/>
      </c>
      <c r="G17">
        <f>"amount"</f>
        <v/>
      </c>
      <c r="H17">
        <f>IF('JobPlanner Data'!L18="","","JobPlanner Data'!L18)</f>
        <v/>
      </c>
      <c r="I17">
        <f>IF('JobPlanner Data'!H18="","","JobPlanner Data'!H18)</f>
        <v/>
      </c>
      <c r="J17">
        <f>IF('JobPlanner Data'!N18="","",IF(ISNUMBER('JobPlanner Data'!N18),TEXT('JobPlanner Data'!N18,"YYYY-MM-DD"),""))</f>
        <v/>
      </c>
      <c r="K17">
        <f>IF('JobPlanner Data'!Q18="","",IF(ISNUMBER('JobPlanner Data'!Q18),TEXT('JobPlanner Data'!Q18,"YYYY-MM-DD"),""))</f>
        <v/>
      </c>
      <c r="L17">
        <f>IF('JobPlanner Data'!I18&lt;&gt;"",IF(ISNUMBER('JobPlanner Data'!I18),TEXT('JobPlanner Data'!I18,"YYYY-MM-DD"),""),IF('JobPlanner Data'!T18&lt;&gt;"",IF(ISNUMBER('JobPlanner Data'!T18),TEXT('JobPlanner Data'!T18,"YYYY-MM-DD"),""),""))</f>
        <v/>
      </c>
      <c r="M17">
        <f>IF('JobPlanner Data'!S18="","",IF(ISNUMBER('JobPlanner Data'!S18),TEXT('JobPlanner Data'!S18,"YYYY-MM-DD"),""))</f>
        <v/>
      </c>
      <c r="N17">
        <f>IF('JobPlanner Data'!R18="","",IF(ISNUMBER('JobPlanner Data'!R18),TEXT('JobPlanner Data'!R18,"YYYY-MM-DD"),""))</f>
        <v/>
      </c>
      <c r="O17">
        <f>IF('JobPlanner Data'!U18="","",IF(ISNUMBER('JobPlanner Data'!U18),TEXT('JobPlanner Data'!U18,"YYYY-MM-DD"),""))</f>
        <v/>
      </c>
      <c r="P17">
        <f>IF('JobPlanner Data'!O18="","","JobPlanner Data'!O18)</f>
        <v/>
      </c>
      <c r="Q17">
        <f>IF('JobPlanner Data'!P18="","","JobPlanner Data'!P18)</f>
        <v/>
      </c>
    </row>
    <row r="18">
      <c r="A18">
        <f>IF('JobPlanner Data'!A19="","",IF(ISBLANK('JobPlanner Data'!A19),"",'JobPlanner Data'!A19))</f>
        <v/>
      </c>
      <c r="B18">
        <f>IF('JobPlanner Data'!B19="","",LOWER('JobPlanner Data'!B19))</f>
        <v/>
      </c>
      <c r="C18">
        <f>IF('JobPlanner Data'!D19&lt;&gt;"","JobPlanner Data'!D19,IF('JobPlanner Data'!F19&lt;&gt;"","JobPlanner Data'!F19,""))</f>
        <v/>
      </c>
      <c r="D18">
        <f>IF('JobPlanner Data'!J19="","",LOWER('JobPlanner Data'!J19))</f>
        <v/>
      </c>
      <c r="E18">
        <f>IF('JobPlanner Data'!C19="","",IFERROR(VLOOKUP('JobPlanner Data'!C19,'Company Lookup'!A:B,2,FALSE),"[NOT FOUND]"))</f>
        <v/>
      </c>
      <c r="F18" s="5">
        <f>IF('JobPlanner Data'!G19="","",VALUE(SUBSTITUTE(SUBSTITUTE('JobPlanner Data'!G19,"$",""),",","")))</f>
        <v/>
      </c>
      <c r="G18">
        <f>"amount"</f>
        <v/>
      </c>
      <c r="H18">
        <f>IF('JobPlanner Data'!L19="","","JobPlanner Data'!L19)</f>
        <v/>
      </c>
      <c r="I18">
        <f>IF('JobPlanner Data'!H19="","","JobPlanner Data'!H19)</f>
        <v/>
      </c>
      <c r="J18">
        <f>IF('JobPlanner Data'!N19="","",IF(ISNUMBER('JobPlanner Data'!N19),TEXT('JobPlanner Data'!N19,"YYYY-MM-DD"),""))</f>
        <v/>
      </c>
      <c r="K18">
        <f>IF('JobPlanner Data'!Q19="","",IF(ISNUMBER('JobPlanner Data'!Q19),TEXT('JobPlanner Data'!Q19,"YYYY-MM-DD"),""))</f>
        <v/>
      </c>
      <c r="L18">
        <f>IF('JobPlanner Data'!I19&lt;&gt;"",IF(ISNUMBER('JobPlanner Data'!I19),TEXT('JobPlanner Data'!I19,"YYYY-MM-DD"),""),IF('JobPlanner Data'!T19&lt;&gt;"",IF(ISNUMBER('JobPlanner Data'!T19),TEXT('JobPlanner Data'!T19,"YYYY-MM-DD"),""),""))</f>
        <v/>
      </c>
      <c r="M18">
        <f>IF('JobPlanner Data'!S19="","",IF(ISNUMBER('JobPlanner Data'!S19),TEXT('JobPlanner Data'!S19,"YYYY-MM-DD"),""))</f>
        <v/>
      </c>
      <c r="N18">
        <f>IF('JobPlanner Data'!R19="","",IF(ISNUMBER('JobPlanner Data'!R19),TEXT('JobPlanner Data'!R19,"YYYY-MM-DD"),""))</f>
        <v/>
      </c>
      <c r="O18">
        <f>IF('JobPlanner Data'!U19="","",IF(ISNUMBER('JobPlanner Data'!U19),TEXT('JobPlanner Data'!U19,"YYYY-MM-DD"),""))</f>
        <v/>
      </c>
      <c r="P18">
        <f>IF('JobPlanner Data'!O19="","","JobPlanner Data'!O19)</f>
        <v/>
      </c>
      <c r="Q18">
        <f>IF('JobPlanner Data'!P19="","","JobPlanner Data'!P19)</f>
        <v/>
      </c>
    </row>
    <row r="19">
      <c r="A19">
        <f>IF('JobPlanner Data'!A20="","",IF(ISBLANK('JobPlanner Data'!A20),"",'JobPlanner Data'!A20))</f>
        <v/>
      </c>
      <c r="B19">
        <f>IF('JobPlanner Data'!B20="","",LOWER('JobPlanner Data'!B20))</f>
        <v/>
      </c>
      <c r="C19">
        <f>IF('JobPlanner Data'!D20&lt;&gt;"","JobPlanner Data'!D20,IF('JobPlanner Data'!F20&lt;&gt;"","JobPlanner Data'!F20,""))</f>
        <v/>
      </c>
      <c r="D19">
        <f>IF('JobPlanner Data'!J20="","",LOWER('JobPlanner Data'!J20))</f>
        <v/>
      </c>
      <c r="E19">
        <f>IF('JobPlanner Data'!C20="","",IFERROR(VLOOKUP('JobPlanner Data'!C20,'Company Lookup'!A:B,2,FALSE),"[NOT FOUND]"))</f>
        <v/>
      </c>
      <c r="F19" s="5">
        <f>IF('JobPlanner Data'!G20="","",VALUE(SUBSTITUTE(SUBSTITUTE('JobPlanner Data'!G20,"$",""),",","")))</f>
        <v/>
      </c>
      <c r="G19">
        <f>"amount"</f>
        <v/>
      </c>
      <c r="H19">
        <f>IF('JobPlanner Data'!L20="","","JobPlanner Data'!L20)</f>
        <v/>
      </c>
      <c r="I19">
        <f>IF('JobPlanner Data'!H20="","","JobPlanner Data'!H20)</f>
        <v/>
      </c>
      <c r="J19">
        <f>IF('JobPlanner Data'!N20="","",IF(ISNUMBER('JobPlanner Data'!N20),TEXT('JobPlanner Data'!N20,"YYYY-MM-DD"),""))</f>
        <v/>
      </c>
      <c r="K19">
        <f>IF('JobPlanner Data'!Q20="","",IF(ISNUMBER('JobPlanner Data'!Q20),TEXT('JobPlanner Data'!Q20,"YYYY-MM-DD"),""))</f>
        <v/>
      </c>
      <c r="L19">
        <f>IF('JobPlanner Data'!I20&lt;&gt;"",IF(ISNUMBER('JobPlanner Data'!I20),TEXT('JobPlanner Data'!I20,"YYYY-MM-DD"),""),IF('JobPlanner Data'!T20&lt;&gt;"",IF(ISNUMBER('JobPlanner Data'!T20),TEXT('JobPlanner Data'!T20,"YYYY-MM-DD"),""),""))</f>
        <v/>
      </c>
      <c r="M19">
        <f>IF('JobPlanner Data'!S20="","",IF(ISNUMBER('JobPlanner Data'!S20),TEXT('JobPlanner Data'!S20,"YYYY-MM-DD"),""))</f>
        <v/>
      </c>
      <c r="N19">
        <f>IF('JobPlanner Data'!R20="","",IF(ISNUMBER('JobPlanner Data'!R20),TEXT('JobPlanner Data'!R20,"YYYY-MM-DD"),""))</f>
        <v/>
      </c>
      <c r="O19">
        <f>IF('JobPlanner Data'!U20="","",IF(ISNUMBER('JobPlanner Data'!U20),TEXT('JobPlanner Data'!U20,"YYYY-MM-DD"),""))</f>
        <v/>
      </c>
      <c r="P19">
        <f>IF('JobPlanner Data'!O20="","","JobPlanner Data'!O20)</f>
        <v/>
      </c>
      <c r="Q19">
        <f>IF('JobPlanner Data'!P20="","","JobPlanner Data'!P20)</f>
        <v/>
      </c>
    </row>
    <row r="20">
      <c r="A20">
        <f>IF('JobPlanner Data'!A21="","",IF(ISBLANK('JobPlanner Data'!A21),"",'JobPlanner Data'!A21))</f>
        <v/>
      </c>
      <c r="B20">
        <f>IF('JobPlanner Data'!B21="","",LOWER('JobPlanner Data'!B21))</f>
        <v/>
      </c>
      <c r="C20">
        <f>IF('JobPlanner Data'!D21&lt;&gt;"","JobPlanner Data'!D21,IF('JobPlanner Data'!F21&lt;&gt;"","JobPlanner Data'!F21,""))</f>
        <v/>
      </c>
      <c r="D20">
        <f>IF('JobPlanner Data'!J21="","",LOWER('JobPlanner Data'!J21))</f>
        <v/>
      </c>
      <c r="E20">
        <f>IF('JobPlanner Data'!C21="","",IFERROR(VLOOKUP('JobPlanner Data'!C21,'Company Lookup'!A:B,2,FALSE),"[NOT FOUND]"))</f>
        <v/>
      </c>
      <c r="F20" s="5">
        <f>IF('JobPlanner Data'!G21="","",VALUE(SUBSTITUTE(SUBSTITUTE('JobPlanner Data'!G21,"$",""),",","")))</f>
        <v/>
      </c>
      <c r="G20">
        <f>"amount"</f>
        <v/>
      </c>
      <c r="H20">
        <f>IF('JobPlanner Data'!L21="","","JobPlanner Data'!L21)</f>
        <v/>
      </c>
      <c r="I20">
        <f>IF('JobPlanner Data'!H21="","","JobPlanner Data'!H21)</f>
        <v/>
      </c>
      <c r="J20">
        <f>IF('JobPlanner Data'!N21="","",IF(ISNUMBER('JobPlanner Data'!N21),TEXT('JobPlanner Data'!N21,"YYYY-MM-DD"),""))</f>
        <v/>
      </c>
      <c r="K20">
        <f>IF('JobPlanner Data'!Q21="","",IF(ISNUMBER('JobPlanner Data'!Q21),TEXT('JobPlanner Data'!Q21,"YYYY-MM-DD"),""))</f>
        <v/>
      </c>
      <c r="L20">
        <f>IF('JobPlanner Data'!I21&lt;&gt;"",IF(ISNUMBER('JobPlanner Data'!I21),TEXT('JobPlanner Data'!I21,"YYYY-MM-DD"),""),IF('JobPlanner Data'!T21&lt;&gt;"",IF(ISNUMBER('JobPlanner Data'!T21),TEXT('JobPlanner Data'!T21,"YYYY-MM-DD"),""),""))</f>
        <v/>
      </c>
      <c r="M20">
        <f>IF('JobPlanner Data'!S21="","",IF(ISNUMBER('JobPlanner Data'!S21),TEXT('JobPlanner Data'!S21,"YYYY-MM-DD"),""))</f>
        <v/>
      </c>
      <c r="N20">
        <f>IF('JobPlanner Data'!R21="","",IF(ISNUMBER('JobPlanner Data'!R21),TEXT('JobPlanner Data'!R21,"YYYY-MM-DD"),""))</f>
        <v/>
      </c>
      <c r="O20">
        <f>IF('JobPlanner Data'!U21="","",IF(ISNUMBER('JobPlanner Data'!U21),TEXT('JobPlanner Data'!U21,"YYYY-MM-DD"),""))</f>
        <v/>
      </c>
      <c r="P20">
        <f>IF('JobPlanner Data'!O21="","","JobPlanner Data'!O21)</f>
        <v/>
      </c>
      <c r="Q20">
        <f>IF('JobPlanner Data'!P21="","","JobPlanner Data'!P21)</f>
        <v/>
      </c>
    </row>
    <row r="21">
      <c r="A21">
        <f>IF('JobPlanner Data'!A22="","",IF(ISBLANK('JobPlanner Data'!A22),"",'JobPlanner Data'!A22))</f>
        <v/>
      </c>
      <c r="B21">
        <f>IF('JobPlanner Data'!B22="","",LOWER('JobPlanner Data'!B22))</f>
        <v/>
      </c>
      <c r="C21">
        <f>IF('JobPlanner Data'!D22&lt;&gt;"","JobPlanner Data'!D22,IF('JobPlanner Data'!F22&lt;&gt;"","JobPlanner Data'!F22,""))</f>
        <v/>
      </c>
      <c r="D21">
        <f>IF('JobPlanner Data'!J22="","",LOWER('JobPlanner Data'!J22))</f>
        <v/>
      </c>
      <c r="E21">
        <f>IF('JobPlanner Data'!C22="","",IFERROR(VLOOKUP('JobPlanner Data'!C22,'Company Lookup'!A:B,2,FALSE),"[NOT FOUND]"))</f>
        <v/>
      </c>
      <c r="F21" s="5">
        <f>IF('JobPlanner Data'!G22="","",VALUE(SUBSTITUTE(SUBSTITUTE('JobPlanner Data'!G22,"$",""),",","")))</f>
        <v/>
      </c>
      <c r="G21">
        <f>"amount"</f>
        <v/>
      </c>
      <c r="H21">
        <f>IF('JobPlanner Data'!L22="","","JobPlanner Data'!L22)</f>
        <v/>
      </c>
      <c r="I21">
        <f>IF('JobPlanner Data'!H22="","","JobPlanner Data'!H22)</f>
        <v/>
      </c>
      <c r="J21">
        <f>IF('JobPlanner Data'!N22="","",IF(ISNUMBER('JobPlanner Data'!N22),TEXT('JobPlanner Data'!N22,"YYYY-MM-DD"),""))</f>
        <v/>
      </c>
      <c r="K21">
        <f>IF('JobPlanner Data'!Q22="","",IF(ISNUMBER('JobPlanner Data'!Q22),TEXT('JobPlanner Data'!Q22,"YYYY-MM-DD"),""))</f>
        <v/>
      </c>
      <c r="L21">
        <f>IF('JobPlanner Data'!I22&lt;&gt;"",IF(ISNUMBER('JobPlanner Data'!I22),TEXT('JobPlanner Data'!I22,"YYYY-MM-DD"),""),IF('JobPlanner Data'!T22&lt;&gt;"",IF(ISNUMBER('JobPlanner Data'!T22),TEXT('JobPlanner Data'!T22,"YYYY-MM-DD"),""),""))</f>
        <v/>
      </c>
      <c r="M21">
        <f>IF('JobPlanner Data'!S22="","",IF(ISNUMBER('JobPlanner Data'!S22),TEXT('JobPlanner Data'!S22,"YYYY-MM-DD"),""))</f>
        <v/>
      </c>
      <c r="N21">
        <f>IF('JobPlanner Data'!R22="","",IF(ISNUMBER('JobPlanner Data'!R22),TEXT('JobPlanner Data'!R22,"YYYY-MM-DD"),""))</f>
        <v/>
      </c>
      <c r="O21">
        <f>IF('JobPlanner Data'!U22="","",IF(ISNUMBER('JobPlanner Data'!U22),TEXT('JobPlanner Data'!U22,"YYYY-MM-DD"),""))</f>
        <v/>
      </c>
      <c r="P21">
        <f>IF('JobPlanner Data'!O22="","","JobPlanner Data'!O22)</f>
        <v/>
      </c>
      <c r="Q21">
        <f>IF('JobPlanner Data'!P22="","","JobPlanner Data'!P22)</f>
        <v/>
      </c>
    </row>
    <row r="22">
      <c r="A22">
        <f>IF('JobPlanner Data'!A23="","",IF(ISBLANK('JobPlanner Data'!A23),"",'JobPlanner Data'!A23))</f>
        <v/>
      </c>
      <c r="B22">
        <f>IF('JobPlanner Data'!B23="","",LOWER('JobPlanner Data'!B23))</f>
        <v/>
      </c>
      <c r="C22">
        <f>IF('JobPlanner Data'!D23&lt;&gt;"","JobPlanner Data'!D23,IF('JobPlanner Data'!F23&lt;&gt;"","JobPlanner Data'!F23,""))</f>
        <v/>
      </c>
      <c r="D22">
        <f>IF('JobPlanner Data'!J23="","",LOWER('JobPlanner Data'!J23))</f>
        <v/>
      </c>
      <c r="E22">
        <f>IF('JobPlanner Data'!C23="","",IFERROR(VLOOKUP('JobPlanner Data'!C23,'Company Lookup'!A:B,2,FALSE),"[NOT FOUND]"))</f>
        <v/>
      </c>
      <c r="F22" s="5">
        <f>IF('JobPlanner Data'!G23="","",VALUE(SUBSTITUTE(SUBSTITUTE('JobPlanner Data'!G23,"$",""),",","")))</f>
        <v/>
      </c>
      <c r="G22">
        <f>"amount"</f>
        <v/>
      </c>
      <c r="H22">
        <f>IF('JobPlanner Data'!L23="","","JobPlanner Data'!L23)</f>
        <v/>
      </c>
      <c r="I22">
        <f>IF('JobPlanner Data'!H23="","","JobPlanner Data'!H23)</f>
        <v/>
      </c>
      <c r="J22">
        <f>IF('JobPlanner Data'!N23="","",IF(ISNUMBER('JobPlanner Data'!N23),TEXT('JobPlanner Data'!N23,"YYYY-MM-DD"),""))</f>
        <v/>
      </c>
      <c r="K22">
        <f>IF('JobPlanner Data'!Q23="","",IF(ISNUMBER('JobPlanner Data'!Q23),TEXT('JobPlanner Data'!Q23,"YYYY-MM-DD"),""))</f>
        <v/>
      </c>
      <c r="L22">
        <f>IF('JobPlanner Data'!I23&lt;&gt;"",IF(ISNUMBER('JobPlanner Data'!I23),TEXT('JobPlanner Data'!I23,"YYYY-MM-DD"),""),IF('JobPlanner Data'!T23&lt;&gt;"",IF(ISNUMBER('JobPlanner Data'!T23),TEXT('JobPlanner Data'!T23,"YYYY-MM-DD"),""),""))</f>
        <v/>
      </c>
      <c r="M22">
        <f>IF('JobPlanner Data'!S23="","",IF(ISNUMBER('JobPlanner Data'!S23),TEXT('JobPlanner Data'!S23,"YYYY-MM-DD"),""))</f>
        <v/>
      </c>
      <c r="N22">
        <f>IF('JobPlanner Data'!R23="","",IF(ISNUMBER('JobPlanner Data'!R23),TEXT('JobPlanner Data'!R23,"YYYY-MM-DD"),""))</f>
        <v/>
      </c>
      <c r="O22">
        <f>IF('JobPlanner Data'!U23="","",IF(ISNUMBER('JobPlanner Data'!U23),TEXT('JobPlanner Data'!U23,"YYYY-MM-DD"),""))</f>
        <v/>
      </c>
      <c r="P22">
        <f>IF('JobPlanner Data'!O23="","","JobPlanner Data'!O23)</f>
        <v/>
      </c>
      <c r="Q22">
        <f>IF('JobPlanner Data'!P23="","","JobPlanner Data'!P23)</f>
        <v/>
      </c>
    </row>
    <row r="23">
      <c r="A23">
        <f>IF('JobPlanner Data'!A24="","",IF(ISBLANK('JobPlanner Data'!A24),"",'JobPlanner Data'!A24))</f>
        <v/>
      </c>
      <c r="B23">
        <f>IF('JobPlanner Data'!B24="","",LOWER('JobPlanner Data'!B24))</f>
        <v/>
      </c>
      <c r="C23">
        <f>IF('JobPlanner Data'!D24&lt;&gt;"","JobPlanner Data'!D24,IF('JobPlanner Data'!F24&lt;&gt;"","JobPlanner Data'!F24,""))</f>
        <v/>
      </c>
      <c r="D23">
        <f>IF('JobPlanner Data'!J24="","",LOWER('JobPlanner Data'!J24))</f>
        <v/>
      </c>
      <c r="E23">
        <f>IF('JobPlanner Data'!C24="","",IFERROR(VLOOKUP('JobPlanner Data'!C24,'Company Lookup'!A:B,2,FALSE),"[NOT FOUND]"))</f>
        <v/>
      </c>
      <c r="F23" s="5">
        <f>IF('JobPlanner Data'!G24="","",VALUE(SUBSTITUTE(SUBSTITUTE('JobPlanner Data'!G24,"$",""),",","")))</f>
        <v/>
      </c>
      <c r="G23">
        <f>"amount"</f>
        <v/>
      </c>
      <c r="H23">
        <f>IF('JobPlanner Data'!L24="","","JobPlanner Data'!L24)</f>
        <v/>
      </c>
      <c r="I23">
        <f>IF('JobPlanner Data'!H24="","","JobPlanner Data'!H24)</f>
        <v/>
      </c>
      <c r="J23">
        <f>IF('JobPlanner Data'!N24="","",IF(ISNUMBER('JobPlanner Data'!N24),TEXT('JobPlanner Data'!N24,"YYYY-MM-DD"),""))</f>
        <v/>
      </c>
      <c r="K23">
        <f>IF('JobPlanner Data'!Q24="","",IF(ISNUMBER('JobPlanner Data'!Q24),TEXT('JobPlanner Data'!Q24,"YYYY-MM-DD"),""))</f>
        <v/>
      </c>
      <c r="L23">
        <f>IF('JobPlanner Data'!I24&lt;&gt;"",IF(ISNUMBER('JobPlanner Data'!I24),TEXT('JobPlanner Data'!I24,"YYYY-MM-DD"),""),IF('JobPlanner Data'!T24&lt;&gt;"",IF(ISNUMBER('JobPlanner Data'!T24),TEXT('JobPlanner Data'!T24,"YYYY-MM-DD"),""),""))</f>
        <v/>
      </c>
      <c r="M23">
        <f>IF('JobPlanner Data'!S24="","",IF(ISNUMBER('JobPlanner Data'!S24),TEXT('JobPlanner Data'!S24,"YYYY-MM-DD"),""))</f>
        <v/>
      </c>
      <c r="N23">
        <f>IF('JobPlanner Data'!R24="","",IF(ISNUMBER('JobPlanner Data'!R24),TEXT('JobPlanner Data'!R24,"YYYY-MM-DD"),""))</f>
        <v/>
      </c>
      <c r="O23">
        <f>IF('JobPlanner Data'!U24="","",IF(ISNUMBER('JobPlanner Data'!U24),TEXT('JobPlanner Data'!U24,"YYYY-MM-DD"),""))</f>
        <v/>
      </c>
      <c r="P23">
        <f>IF('JobPlanner Data'!O24="","","JobPlanner Data'!O24)</f>
        <v/>
      </c>
      <c r="Q23">
        <f>IF('JobPlanner Data'!P24="","","JobPlanner Data'!P24)</f>
        <v/>
      </c>
    </row>
    <row r="24">
      <c r="A24">
        <f>IF('JobPlanner Data'!A25="","",IF(ISBLANK('JobPlanner Data'!A25),"",'JobPlanner Data'!A25))</f>
        <v/>
      </c>
      <c r="B24">
        <f>IF('JobPlanner Data'!B25="","",LOWER('JobPlanner Data'!B25))</f>
        <v/>
      </c>
      <c r="C24">
        <f>IF('JobPlanner Data'!D25&lt;&gt;"","JobPlanner Data'!D25,IF('JobPlanner Data'!F25&lt;&gt;"","JobPlanner Data'!F25,""))</f>
        <v/>
      </c>
      <c r="D24">
        <f>IF('JobPlanner Data'!J25="","",LOWER('JobPlanner Data'!J25))</f>
        <v/>
      </c>
      <c r="E24">
        <f>IF('JobPlanner Data'!C25="","",IFERROR(VLOOKUP('JobPlanner Data'!C25,'Company Lookup'!A:B,2,FALSE),"[NOT FOUND]"))</f>
        <v/>
      </c>
      <c r="F24" s="5">
        <f>IF('JobPlanner Data'!G25="","",VALUE(SUBSTITUTE(SUBSTITUTE('JobPlanner Data'!G25,"$",""),",","")))</f>
        <v/>
      </c>
      <c r="G24">
        <f>"amount"</f>
        <v/>
      </c>
      <c r="H24">
        <f>IF('JobPlanner Data'!L25="","","JobPlanner Data'!L25)</f>
        <v/>
      </c>
      <c r="I24">
        <f>IF('JobPlanner Data'!H25="","","JobPlanner Data'!H25)</f>
        <v/>
      </c>
      <c r="J24">
        <f>IF('JobPlanner Data'!N25="","",IF(ISNUMBER('JobPlanner Data'!N25),TEXT('JobPlanner Data'!N25,"YYYY-MM-DD"),""))</f>
        <v/>
      </c>
      <c r="K24">
        <f>IF('JobPlanner Data'!Q25="","",IF(ISNUMBER('JobPlanner Data'!Q25),TEXT('JobPlanner Data'!Q25,"YYYY-MM-DD"),""))</f>
        <v/>
      </c>
      <c r="L24">
        <f>IF('JobPlanner Data'!I25&lt;&gt;"",IF(ISNUMBER('JobPlanner Data'!I25),TEXT('JobPlanner Data'!I25,"YYYY-MM-DD"),""),IF('JobPlanner Data'!T25&lt;&gt;"",IF(ISNUMBER('JobPlanner Data'!T25),TEXT('JobPlanner Data'!T25,"YYYY-MM-DD"),""),""))</f>
        <v/>
      </c>
      <c r="M24">
        <f>IF('JobPlanner Data'!S25="","",IF(ISNUMBER('JobPlanner Data'!S25),TEXT('JobPlanner Data'!S25,"YYYY-MM-DD"),""))</f>
        <v/>
      </c>
      <c r="N24">
        <f>IF('JobPlanner Data'!R25="","",IF(ISNUMBER('JobPlanner Data'!R25),TEXT('JobPlanner Data'!R25,"YYYY-MM-DD"),""))</f>
        <v/>
      </c>
      <c r="O24">
        <f>IF('JobPlanner Data'!U25="","",IF(ISNUMBER('JobPlanner Data'!U25),TEXT('JobPlanner Data'!U25,"YYYY-MM-DD"),""))</f>
        <v/>
      </c>
      <c r="P24">
        <f>IF('JobPlanner Data'!O25="","","JobPlanner Data'!O25)</f>
        <v/>
      </c>
      <c r="Q24">
        <f>IF('JobPlanner Data'!P25="","","JobPlanner Data'!P25)</f>
        <v/>
      </c>
    </row>
    <row r="25">
      <c r="A25">
        <f>IF('JobPlanner Data'!A26="","",IF(ISBLANK('JobPlanner Data'!A26),"",'JobPlanner Data'!A26))</f>
        <v/>
      </c>
      <c r="B25">
        <f>IF('JobPlanner Data'!B26="","",LOWER('JobPlanner Data'!B26))</f>
        <v/>
      </c>
      <c r="C25">
        <f>IF('JobPlanner Data'!D26&lt;&gt;"","JobPlanner Data'!D26,IF('JobPlanner Data'!F26&lt;&gt;"","JobPlanner Data'!F26,""))</f>
        <v/>
      </c>
      <c r="D25">
        <f>IF('JobPlanner Data'!J26="","",LOWER('JobPlanner Data'!J26))</f>
        <v/>
      </c>
      <c r="E25">
        <f>IF('JobPlanner Data'!C26="","",IFERROR(VLOOKUP('JobPlanner Data'!C26,'Company Lookup'!A:B,2,FALSE),"[NOT FOUND]"))</f>
        <v/>
      </c>
      <c r="F25" s="5">
        <f>IF('JobPlanner Data'!G26="","",VALUE(SUBSTITUTE(SUBSTITUTE('JobPlanner Data'!G26,"$",""),",","")))</f>
        <v/>
      </c>
      <c r="G25">
        <f>"amount"</f>
        <v/>
      </c>
      <c r="H25">
        <f>IF('JobPlanner Data'!L26="","","JobPlanner Data'!L26)</f>
        <v/>
      </c>
      <c r="I25">
        <f>IF('JobPlanner Data'!H26="","","JobPlanner Data'!H26)</f>
        <v/>
      </c>
      <c r="J25">
        <f>IF('JobPlanner Data'!N26="","",IF(ISNUMBER('JobPlanner Data'!N26),TEXT('JobPlanner Data'!N26,"YYYY-MM-DD"),""))</f>
        <v/>
      </c>
      <c r="K25">
        <f>IF('JobPlanner Data'!Q26="","",IF(ISNUMBER('JobPlanner Data'!Q26),TEXT('JobPlanner Data'!Q26,"YYYY-MM-DD"),""))</f>
        <v/>
      </c>
      <c r="L25">
        <f>IF('JobPlanner Data'!I26&lt;&gt;"",IF(ISNUMBER('JobPlanner Data'!I26),TEXT('JobPlanner Data'!I26,"YYYY-MM-DD"),""),IF('JobPlanner Data'!T26&lt;&gt;"",IF(ISNUMBER('JobPlanner Data'!T26),TEXT('JobPlanner Data'!T26,"YYYY-MM-DD"),""),""))</f>
        <v/>
      </c>
      <c r="M25">
        <f>IF('JobPlanner Data'!S26="","",IF(ISNUMBER('JobPlanner Data'!S26),TEXT('JobPlanner Data'!S26,"YYYY-MM-DD"),""))</f>
        <v/>
      </c>
      <c r="N25">
        <f>IF('JobPlanner Data'!R26="","",IF(ISNUMBER('JobPlanner Data'!R26),TEXT('JobPlanner Data'!R26,"YYYY-MM-DD"),""))</f>
        <v/>
      </c>
      <c r="O25">
        <f>IF('JobPlanner Data'!U26="","",IF(ISNUMBER('JobPlanner Data'!U26),TEXT('JobPlanner Data'!U26,"YYYY-MM-DD"),""))</f>
        <v/>
      </c>
      <c r="P25">
        <f>IF('JobPlanner Data'!O26="","","JobPlanner Data'!O26)</f>
        <v/>
      </c>
      <c r="Q25">
        <f>IF('JobPlanner Data'!P26="","","JobPlanner Data'!P26)</f>
        <v/>
      </c>
    </row>
    <row r="26">
      <c r="A26">
        <f>IF('JobPlanner Data'!A27="","",IF(ISBLANK('JobPlanner Data'!A27),"",'JobPlanner Data'!A27))</f>
        <v/>
      </c>
      <c r="B26">
        <f>IF('JobPlanner Data'!B27="","",LOWER('JobPlanner Data'!B27))</f>
        <v/>
      </c>
      <c r="C26">
        <f>IF('JobPlanner Data'!D27&lt;&gt;"","JobPlanner Data'!D27,IF('JobPlanner Data'!F27&lt;&gt;"","JobPlanner Data'!F27,""))</f>
        <v/>
      </c>
      <c r="D26">
        <f>IF('JobPlanner Data'!J27="","",LOWER('JobPlanner Data'!J27))</f>
        <v/>
      </c>
      <c r="E26">
        <f>IF('JobPlanner Data'!C27="","",IFERROR(VLOOKUP('JobPlanner Data'!C27,'Company Lookup'!A:B,2,FALSE),"[NOT FOUND]"))</f>
        <v/>
      </c>
      <c r="F26" s="5">
        <f>IF('JobPlanner Data'!G27="","",VALUE(SUBSTITUTE(SUBSTITUTE('JobPlanner Data'!G27,"$",""),",","")))</f>
        <v/>
      </c>
      <c r="G26">
        <f>"amount"</f>
        <v/>
      </c>
      <c r="H26">
        <f>IF('JobPlanner Data'!L27="","","JobPlanner Data'!L27)</f>
        <v/>
      </c>
      <c r="I26">
        <f>IF('JobPlanner Data'!H27="","","JobPlanner Data'!H27)</f>
        <v/>
      </c>
      <c r="J26">
        <f>IF('JobPlanner Data'!N27="","",IF(ISNUMBER('JobPlanner Data'!N27),TEXT('JobPlanner Data'!N27,"YYYY-MM-DD"),""))</f>
        <v/>
      </c>
      <c r="K26">
        <f>IF('JobPlanner Data'!Q27="","",IF(ISNUMBER('JobPlanner Data'!Q27),TEXT('JobPlanner Data'!Q27,"YYYY-MM-DD"),""))</f>
        <v/>
      </c>
      <c r="L26">
        <f>IF('JobPlanner Data'!I27&lt;&gt;"",IF(ISNUMBER('JobPlanner Data'!I27),TEXT('JobPlanner Data'!I27,"YYYY-MM-DD"),""),IF('JobPlanner Data'!T27&lt;&gt;"",IF(ISNUMBER('JobPlanner Data'!T27),TEXT('JobPlanner Data'!T27,"YYYY-MM-DD"),""),""))</f>
        <v/>
      </c>
      <c r="M26">
        <f>IF('JobPlanner Data'!S27="","",IF(ISNUMBER('JobPlanner Data'!S27),TEXT('JobPlanner Data'!S27,"YYYY-MM-DD"),""))</f>
        <v/>
      </c>
      <c r="N26">
        <f>IF('JobPlanner Data'!R27="","",IF(ISNUMBER('JobPlanner Data'!R27),TEXT('JobPlanner Data'!R27,"YYYY-MM-DD"),""))</f>
        <v/>
      </c>
      <c r="O26">
        <f>IF('JobPlanner Data'!U27="","",IF(ISNUMBER('JobPlanner Data'!U27),TEXT('JobPlanner Data'!U27,"YYYY-MM-DD"),""))</f>
        <v/>
      </c>
      <c r="P26">
        <f>IF('JobPlanner Data'!O27="","","JobPlanner Data'!O27)</f>
        <v/>
      </c>
      <c r="Q26">
        <f>IF('JobPlanner Data'!P27="","","JobPlanner Data'!P27)</f>
        <v/>
      </c>
    </row>
    <row r="27">
      <c r="A27">
        <f>IF('JobPlanner Data'!A28="","",IF(ISBLANK('JobPlanner Data'!A28),"",'JobPlanner Data'!A28))</f>
        <v/>
      </c>
      <c r="B27">
        <f>IF('JobPlanner Data'!B28="","",LOWER('JobPlanner Data'!B28))</f>
        <v/>
      </c>
      <c r="C27">
        <f>IF('JobPlanner Data'!D28&lt;&gt;"","JobPlanner Data'!D28,IF('JobPlanner Data'!F28&lt;&gt;"","JobPlanner Data'!F28,""))</f>
        <v/>
      </c>
      <c r="D27">
        <f>IF('JobPlanner Data'!J28="","",LOWER('JobPlanner Data'!J28))</f>
        <v/>
      </c>
      <c r="E27">
        <f>IF('JobPlanner Data'!C28="","",IFERROR(VLOOKUP('JobPlanner Data'!C28,'Company Lookup'!A:B,2,FALSE),"[NOT FOUND]"))</f>
        <v/>
      </c>
      <c r="F27" s="5">
        <f>IF('JobPlanner Data'!G28="","",VALUE(SUBSTITUTE(SUBSTITUTE('JobPlanner Data'!G28,"$",""),",","")))</f>
        <v/>
      </c>
      <c r="G27">
        <f>"amount"</f>
        <v/>
      </c>
      <c r="H27">
        <f>IF('JobPlanner Data'!L28="","","JobPlanner Data'!L28)</f>
        <v/>
      </c>
      <c r="I27">
        <f>IF('JobPlanner Data'!H28="","","JobPlanner Data'!H28)</f>
        <v/>
      </c>
      <c r="J27">
        <f>IF('JobPlanner Data'!N28="","",IF(ISNUMBER('JobPlanner Data'!N28),TEXT('JobPlanner Data'!N28,"YYYY-MM-DD"),""))</f>
        <v/>
      </c>
      <c r="K27">
        <f>IF('JobPlanner Data'!Q28="","",IF(ISNUMBER('JobPlanner Data'!Q28),TEXT('JobPlanner Data'!Q28,"YYYY-MM-DD"),""))</f>
        <v/>
      </c>
      <c r="L27">
        <f>IF('JobPlanner Data'!I28&lt;&gt;"",IF(ISNUMBER('JobPlanner Data'!I28),TEXT('JobPlanner Data'!I28,"YYYY-MM-DD"),""),IF('JobPlanner Data'!T28&lt;&gt;"",IF(ISNUMBER('JobPlanner Data'!T28),TEXT('JobPlanner Data'!T28,"YYYY-MM-DD"),""),""))</f>
        <v/>
      </c>
      <c r="M27">
        <f>IF('JobPlanner Data'!S28="","",IF(ISNUMBER('JobPlanner Data'!S28),TEXT('JobPlanner Data'!S28,"YYYY-MM-DD"),""))</f>
        <v/>
      </c>
      <c r="N27">
        <f>IF('JobPlanner Data'!R28="","",IF(ISNUMBER('JobPlanner Data'!R28),TEXT('JobPlanner Data'!R28,"YYYY-MM-DD"),""))</f>
        <v/>
      </c>
      <c r="O27">
        <f>IF('JobPlanner Data'!U28="","",IF(ISNUMBER('JobPlanner Data'!U28),TEXT('JobPlanner Data'!U28,"YYYY-MM-DD"),""))</f>
        <v/>
      </c>
      <c r="P27">
        <f>IF('JobPlanner Data'!O28="","","JobPlanner Data'!O28)</f>
        <v/>
      </c>
      <c r="Q27">
        <f>IF('JobPlanner Data'!P28="","","JobPlanner Data'!P28)</f>
        <v/>
      </c>
    </row>
    <row r="28">
      <c r="A28">
        <f>IF('JobPlanner Data'!A29="","",IF(ISBLANK('JobPlanner Data'!A29),"",'JobPlanner Data'!A29))</f>
        <v/>
      </c>
      <c r="B28">
        <f>IF('JobPlanner Data'!B29="","",LOWER('JobPlanner Data'!B29))</f>
        <v/>
      </c>
      <c r="C28">
        <f>IF('JobPlanner Data'!D29&lt;&gt;"","JobPlanner Data'!D29,IF('JobPlanner Data'!F29&lt;&gt;"","JobPlanner Data'!F29,""))</f>
        <v/>
      </c>
      <c r="D28">
        <f>IF('JobPlanner Data'!J29="","",LOWER('JobPlanner Data'!J29))</f>
        <v/>
      </c>
      <c r="E28">
        <f>IF('JobPlanner Data'!C29="","",IFERROR(VLOOKUP('JobPlanner Data'!C29,'Company Lookup'!A:B,2,FALSE),"[NOT FOUND]"))</f>
        <v/>
      </c>
      <c r="F28" s="5">
        <f>IF('JobPlanner Data'!G29="","",VALUE(SUBSTITUTE(SUBSTITUTE('JobPlanner Data'!G29,"$",""),",","")))</f>
        <v/>
      </c>
      <c r="G28">
        <f>"amount"</f>
        <v/>
      </c>
      <c r="H28">
        <f>IF('JobPlanner Data'!L29="","","JobPlanner Data'!L29)</f>
        <v/>
      </c>
      <c r="I28">
        <f>IF('JobPlanner Data'!H29="","","JobPlanner Data'!H29)</f>
        <v/>
      </c>
      <c r="J28">
        <f>IF('JobPlanner Data'!N29="","",IF(ISNUMBER('JobPlanner Data'!N29),TEXT('JobPlanner Data'!N29,"YYYY-MM-DD"),""))</f>
        <v/>
      </c>
      <c r="K28">
        <f>IF('JobPlanner Data'!Q29="","",IF(ISNUMBER('JobPlanner Data'!Q29),TEXT('JobPlanner Data'!Q29,"YYYY-MM-DD"),""))</f>
        <v/>
      </c>
      <c r="L28">
        <f>IF('JobPlanner Data'!I29&lt;&gt;"",IF(ISNUMBER('JobPlanner Data'!I29),TEXT('JobPlanner Data'!I29,"YYYY-MM-DD"),""),IF('JobPlanner Data'!T29&lt;&gt;"",IF(ISNUMBER('JobPlanner Data'!T29),TEXT('JobPlanner Data'!T29,"YYYY-MM-DD"),""),""))</f>
        <v/>
      </c>
      <c r="M28">
        <f>IF('JobPlanner Data'!S29="","",IF(ISNUMBER('JobPlanner Data'!S29),TEXT('JobPlanner Data'!S29,"YYYY-MM-DD"),""))</f>
        <v/>
      </c>
      <c r="N28">
        <f>IF('JobPlanner Data'!R29="","",IF(ISNUMBER('JobPlanner Data'!R29),TEXT('JobPlanner Data'!R29,"YYYY-MM-DD"),""))</f>
        <v/>
      </c>
      <c r="O28">
        <f>IF('JobPlanner Data'!U29="","",IF(ISNUMBER('JobPlanner Data'!U29),TEXT('JobPlanner Data'!U29,"YYYY-MM-DD"),""))</f>
        <v/>
      </c>
      <c r="P28">
        <f>IF('JobPlanner Data'!O29="","","JobPlanner Data'!O29)</f>
        <v/>
      </c>
      <c r="Q28">
        <f>IF('JobPlanner Data'!P29="","","JobPlanner Data'!P29)</f>
        <v/>
      </c>
    </row>
    <row r="29">
      <c r="A29">
        <f>IF('JobPlanner Data'!A30="","",IF(ISBLANK('JobPlanner Data'!A30),"",'JobPlanner Data'!A30))</f>
        <v/>
      </c>
      <c r="B29">
        <f>IF('JobPlanner Data'!B30="","",LOWER('JobPlanner Data'!B30))</f>
        <v/>
      </c>
      <c r="C29">
        <f>IF('JobPlanner Data'!D30&lt;&gt;"","JobPlanner Data'!D30,IF('JobPlanner Data'!F30&lt;&gt;"","JobPlanner Data'!F30,""))</f>
        <v/>
      </c>
      <c r="D29">
        <f>IF('JobPlanner Data'!J30="","",LOWER('JobPlanner Data'!J30))</f>
        <v/>
      </c>
      <c r="E29">
        <f>IF('JobPlanner Data'!C30="","",IFERROR(VLOOKUP('JobPlanner Data'!C30,'Company Lookup'!A:B,2,FALSE),"[NOT FOUND]"))</f>
        <v/>
      </c>
      <c r="F29" s="5">
        <f>IF('JobPlanner Data'!G30="","",VALUE(SUBSTITUTE(SUBSTITUTE('JobPlanner Data'!G30,"$",""),",","")))</f>
        <v/>
      </c>
      <c r="G29">
        <f>"amount"</f>
        <v/>
      </c>
      <c r="H29">
        <f>IF('JobPlanner Data'!L30="","","JobPlanner Data'!L30)</f>
        <v/>
      </c>
      <c r="I29">
        <f>IF('JobPlanner Data'!H30="","","JobPlanner Data'!H30)</f>
        <v/>
      </c>
      <c r="J29">
        <f>IF('JobPlanner Data'!N30="","",IF(ISNUMBER('JobPlanner Data'!N30),TEXT('JobPlanner Data'!N30,"YYYY-MM-DD"),""))</f>
        <v/>
      </c>
      <c r="K29">
        <f>IF('JobPlanner Data'!Q30="","",IF(ISNUMBER('JobPlanner Data'!Q30),TEXT('JobPlanner Data'!Q30,"YYYY-MM-DD"),""))</f>
        <v/>
      </c>
      <c r="L29">
        <f>IF('JobPlanner Data'!I30&lt;&gt;"",IF(ISNUMBER('JobPlanner Data'!I30),TEXT('JobPlanner Data'!I30,"YYYY-MM-DD"),""),IF('JobPlanner Data'!T30&lt;&gt;"",IF(ISNUMBER('JobPlanner Data'!T30),TEXT('JobPlanner Data'!T30,"YYYY-MM-DD"),""),""))</f>
        <v/>
      </c>
      <c r="M29">
        <f>IF('JobPlanner Data'!S30="","",IF(ISNUMBER('JobPlanner Data'!S30),TEXT('JobPlanner Data'!S30,"YYYY-MM-DD"),""))</f>
        <v/>
      </c>
      <c r="N29">
        <f>IF('JobPlanner Data'!R30="","",IF(ISNUMBER('JobPlanner Data'!R30),TEXT('JobPlanner Data'!R30,"YYYY-MM-DD"),""))</f>
        <v/>
      </c>
      <c r="O29">
        <f>IF('JobPlanner Data'!U30="","",IF(ISNUMBER('JobPlanner Data'!U30),TEXT('JobPlanner Data'!U30,"YYYY-MM-DD"),""))</f>
        <v/>
      </c>
      <c r="P29">
        <f>IF('JobPlanner Data'!O30="","","JobPlanner Data'!O30)</f>
        <v/>
      </c>
      <c r="Q29">
        <f>IF('JobPlanner Data'!P30="","","JobPlanner Data'!P30)</f>
        <v/>
      </c>
    </row>
    <row r="30">
      <c r="A30">
        <f>IF('JobPlanner Data'!A31="","",IF(ISBLANK('JobPlanner Data'!A31),"",'JobPlanner Data'!A31))</f>
        <v/>
      </c>
      <c r="B30">
        <f>IF('JobPlanner Data'!B31="","",LOWER('JobPlanner Data'!B31))</f>
        <v/>
      </c>
      <c r="C30">
        <f>IF('JobPlanner Data'!D31&lt;&gt;"","JobPlanner Data'!D31,IF('JobPlanner Data'!F31&lt;&gt;"","JobPlanner Data'!F31,""))</f>
        <v/>
      </c>
      <c r="D30">
        <f>IF('JobPlanner Data'!J31="","",LOWER('JobPlanner Data'!J31))</f>
        <v/>
      </c>
      <c r="E30">
        <f>IF('JobPlanner Data'!C31="","",IFERROR(VLOOKUP('JobPlanner Data'!C31,'Company Lookup'!A:B,2,FALSE),"[NOT FOUND]"))</f>
        <v/>
      </c>
      <c r="F30" s="5">
        <f>IF('JobPlanner Data'!G31="","",VALUE(SUBSTITUTE(SUBSTITUTE('JobPlanner Data'!G31,"$",""),",","")))</f>
        <v/>
      </c>
      <c r="G30">
        <f>"amount"</f>
        <v/>
      </c>
      <c r="H30">
        <f>IF('JobPlanner Data'!L31="","","JobPlanner Data'!L31)</f>
        <v/>
      </c>
      <c r="I30">
        <f>IF('JobPlanner Data'!H31="","","JobPlanner Data'!H31)</f>
        <v/>
      </c>
      <c r="J30">
        <f>IF('JobPlanner Data'!N31="","",IF(ISNUMBER('JobPlanner Data'!N31),TEXT('JobPlanner Data'!N31,"YYYY-MM-DD"),""))</f>
        <v/>
      </c>
      <c r="K30">
        <f>IF('JobPlanner Data'!Q31="","",IF(ISNUMBER('JobPlanner Data'!Q31),TEXT('JobPlanner Data'!Q31,"YYYY-MM-DD"),""))</f>
        <v/>
      </c>
      <c r="L30">
        <f>IF('JobPlanner Data'!I31&lt;&gt;"",IF(ISNUMBER('JobPlanner Data'!I31),TEXT('JobPlanner Data'!I31,"YYYY-MM-DD"),""),IF('JobPlanner Data'!T31&lt;&gt;"",IF(ISNUMBER('JobPlanner Data'!T31),TEXT('JobPlanner Data'!T31,"YYYY-MM-DD"),""),""))</f>
        <v/>
      </c>
      <c r="M30">
        <f>IF('JobPlanner Data'!S31="","",IF(ISNUMBER('JobPlanner Data'!S31),TEXT('JobPlanner Data'!S31,"YYYY-MM-DD"),""))</f>
        <v/>
      </c>
      <c r="N30">
        <f>IF('JobPlanner Data'!R31="","",IF(ISNUMBER('JobPlanner Data'!R31),TEXT('JobPlanner Data'!R31,"YYYY-MM-DD"),""))</f>
        <v/>
      </c>
      <c r="O30">
        <f>IF('JobPlanner Data'!U31="","",IF(ISNUMBER('JobPlanner Data'!U31),TEXT('JobPlanner Data'!U31,"YYYY-MM-DD"),""))</f>
        <v/>
      </c>
      <c r="P30">
        <f>IF('JobPlanner Data'!O31="","","JobPlanner Data'!O31)</f>
        <v/>
      </c>
      <c r="Q30">
        <f>IF('JobPlanner Data'!P31="","","JobPlanner Data'!P31)</f>
        <v/>
      </c>
    </row>
    <row r="31">
      <c r="A31">
        <f>IF('JobPlanner Data'!A32="","",IF(ISBLANK('JobPlanner Data'!A32),"",'JobPlanner Data'!A32))</f>
        <v/>
      </c>
      <c r="B31">
        <f>IF('JobPlanner Data'!B32="","",LOWER('JobPlanner Data'!B32))</f>
        <v/>
      </c>
      <c r="C31">
        <f>IF('JobPlanner Data'!D32&lt;&gt;"","JobPlanner Data'!D32,IF('JobPlanner Data'!F32&lt;&gt;"","JobPlanner Data'!F32,""))</f>
        <v/>
      </c>
      <c r="D31">
        <f>IF('JobPlanner Data'!J32="","",LOWER('JobPlanner Data'!J32))</f>
        <v/>
      </c>
      <c r="E31">
        <f>IF('JobPlanner Data'!C32="","",IFERROR(VLOOKUP('JobPlanner Data'!C32,'Company Lookup'!A:B,2,FALSE),"[NOT FOUND]"))</f>
        <v/>
      </c>
      <c r="F31" s="5">
        <f>IF('JobPlanner Data'!G32="","",VALUE(SUBSTITUTE(SUBSTITUTE('JobPlanner Data'!G32,"$",""),",","")))</f>
        <v/>
      </c>
      <c r="G31">
        <f>"amount"</f>
        <v/>
      </c>
      <c r="H31">
        <f>IF('JobPlanner Data'!L32="","","JobPlanner Data'!L32)</f>
        <v/>
      </c>
      <c r="I31">
        <f>IF('JobPlanner Data'!H32="","","JobPlanner Data'!H32)</f>
        <v/>
      </c>
      <c r="J31">
        <f>IF('JobPlanner Data'!N32="","",IF(ISNUMBER('JobPlanner Data'!N32),TEXT('JobPlanner Data'!N32,"YYYY-MM-DD"),""))</f>
        <v/>
      </c>
      <c r="K31">
        <f>IF('JobPlanner Data'!Q32="","",IF(ISNUMBER('JobPlanner Data'!Q32),TEXT('JobPlanner Data'!Q32,"YYYY-MM-DD"),""))</f>
        <v/>
      </c>
      <c r="L31">
        <f>IF('JobPlanner Data'!I32&lt;&gt;"",IF(ISNUMBER('JobPlanner Data'!I32),TEXT('JobPlanner Data'!I32,"YYYY-MM-DD"),""),IF('JobPlanner Data'!T32&lt;&gt;"",IF(ISNUMBER('JobPlanner Data'!T32),TEXT('JobPlanner Data'!T32,"YYYY-MM-DD"),""),""))</f>
        <v/>
      </c>
      <c r="M31">
        <f>IF('JobPlanner Data'!S32="","",IF(ISNUMBER('JobPlanner Data'!S32),TEXT('JobPlanner Data'!S32,"YYYY-MM-DD"),""))</f>
        <v/>
      </c>
      <c r="N31">
        <f>IF('JobPlanner Data'!R32="","",IF(ISNUMBER('JobPlanner Data'!R32),TEXT('JobPlanner Data'!R32,"YYYY-MM-DD"),""))</f>
        <v/>
      </c>
      <c r="O31">
        <f>IF('JobPlanner Data'!U32="","",IF(ISNUMBER('JobPlanner Data'!U32),TEXT('JobPlanner Data'!U32,"YYYY-MM-DD"),""))</f>
        <v/>
      </c>
      <c r="P31">
        <f>IF('JobPlanner Data'!O32="","","JobPlanner Data'!O32)</f>
        <v/>
      </c>
      <c r="Q31">
        <f>IF('JobPlanner Data'!P32="","","JobPlanner Data'!P32)</f>
        <v/>
      </c>
    </row>
    <row r="32">
      <c r="A32">
        <f>IF('JobPlanner Data'!A33="","",IF(ISBLANK('JobPlanner Data'!A33),"",'JobPlanner Data'!A33))</f>
        <v/>
      </c>
      <c r="B32">
        <f>IF('JobPlanner Data'!B33="","",LOWER('JobPlanner Data'!B33))</f>
        <v/>
      </c>
      <c r="C32">
        <f>IF('JobPlanner Data'!D33&lt;&gt;"","JobPlanner Data'!D33,IF('JobPlanner Data'!F33&lt;&gt;"","JobPlanner Data'!F33,""))</f>
        <v/>
      </c>
      <c r="D32">
        <f>IF('JobPlanner Data'!J33="","",LOWER('JobPlanner Data'!J33))</f>
        <v/>
      </c>
      <c r="E32">
        <f>IF('JobPlanner Data'!C33="","",IFERROR(VLOOKUP('JobPlanner Data'!C33,'Company Lookup'!A:B,2,FALSE),"[NOT FOUND]"))</f>
        <v/>
      </c>
      <c r="F32" s="5">
        <f>IF('JobPlanner Data'!G33="","",VALUE(SUBSTITUTE(SUBSTITUTE('JobPlanner Data'!G33,"$",""),",","")))</f>
        <v/>
      </c>
      <c r="G32">
        <f>"amount"</f>
        <v/>
      </c>
      <c r="H32">
        <f>IF('JobPlanner Data'!L33="","","JobPlanner Data'!L33)</f>
        <v/>
      </c>
      <c r="I32">
        <f>IF('JobPlanner Data'!H33="","","JobPlanner Data'!H33)</f>
        <v/>
      </c>
      <c r="J32">
        <f>IF('JobPlanner Data'!N33="","",IF(ISNUMBER('JobPlanner Data'!N33),TEXT('JobPlanner Data'!N33,"YYYY-MM-DD"),""))</f>
        <v/>
      </c>
      <c r="K32">
        <f>IF('JobPlanner Data'!Q33="","",IF(ISNUMBER('JobPlanner Data'!Q33),TEXT('JobPlanner Data'!Q33,"YYYY-MM-DD"),""))</f>
        <v/>
      </c>
      <c r="L32">
        <f>IF('JobPlanner Data'!I33&lt;&gt;"",IF(ISNUMBER('JobPlanner Data'!I33),TEXT('JobPlanner Data'!I33,"YYYY-MM-DD"),""),IF('JobPlanner Data'!T33&lt;&gt;"",IF(ISNUMBER('JobPlanner Data'!T33),TEXT('JobPlanner Data'!T33,"YYYY-MM-DD"),""),""))</f>
        <v/>
      </c>
      <c r="M32">
        <f>IF('JobPlanner Data'!S33="","",IF(ISNUMBER('JobPlanner Data'!S33),TEXT('JobPlanner Data'!S33,"YYYY-MM-DD"),""))</f>
        <v/>
      </c>
      <c r="N32">
        <f>IF('JobPlanner Data'!R33="","",IF(ISNUMBER('JobPlanner Data'!R33),TEXT('JobPlanner Data'!R33,"YYYY-MM-DD"),""))</f>
        <v/>
      </c>
      <c r="O32">
        <f>IF('JobPlanner Data'!U33="","",IF(ISNUMBER('JobPlanner Data'!U33),TEXT('JobPlanner Data'!U33,"YYYY-MM-DD"),""))</f>
        <v/>
      </c>
      <c r="P32">
        <f>IF('JobPlanner Data'!O33="","","JobPlanner Data'!O33)</f>
        <v/>
      </c>
      <c r="Q32">
        <f>IF('JobPlanner Data'!P33="","","JobPlanner Data'!P33)</f>
        <v/>
      </c>
    </row>
    <row r="33">
      <c r="A33">
        <f>IF('JobPlanner Data'!A34="","",IF(ISBLANK('JobPlanner Data'!A34),"",'JobPlanner Data'!A34))</f>
        <v/>
      </c>
      <c r="B33">
        <f>IF('JobPlanner Data'!B34="","",LOWER('JobPlanner Data'!B34))</f>
        <v/>
      </c>
      <c r="C33">
        <f>IF('JobPlanner Data'!D34&lt;&gt;"","JobPlanner Data'!D34,IF('JobPlanner Data'!F34&lt;&gt;"","JobPlanner Data'!F34,""))</f>
        <v/>
      </c>
      <c r="D33">
        <f>IF('JobPlanner Data'!J34="","",LOWER('JobPlanner Data'!J34))</f>
        <v/>
      </c>
      <c r="E33">
        <f>IF('JobPlanner Data'!C34="","",IFERROR(VLOOKUP('JobPlanner Data'!C34,'Company Lookup'!A:B,2,FALSE),"[NOT FOUND]"))</f>
        <v/>
      </c>
      <c r="F33" s="5">
        <f>IF('JobPlanner Data'!G34="","",VALUE(SUBSTITUTE(SUBSTITUTE('JobPlanner Data'!G34,"$",""),",","")))</f>
        <v/>
      </c>
      <c r="G33">
        <f>"amount"</f>
        <v/>
      </c>
      <c r="H33">
        <f>IF('JobPlanner Data'!L34="","","JobPlanner Data'!L34)</f>
        <v/>
      </c>
      <c r="I33">
        <f>IF('JobPlanner Data'!H34="","","JobPlanner Data'!H34)</f>
        <v/>
      </c>
      <c r="J33">
        <f>IF('JobPlanner Data'!N34="","",IF(ISNUMBER('JobPlanner Data'!N34),TEXT('JobPlanner Data'!N34,"YYYY-MM-DD"),""))</f>
        <v/>
      </c>
      <c r="K33">
        <f>IF('JobPlanner Data'!Q34="","",IF(ISNUMBER('JobPlanner Data'!Q34),TEXT('JobPlanner Data'!Q34,"YYYY-MM-DD"),""))</f>
        <v/>
      </c>
      <c r="L33">
        <f>IF('JobPlanner Data'!I34&lt;&gt;"",IF(ISNUMBER('JobPlanner Data'!I34),TEXT('JobPlanner Data'!I34,"YYYY-MM-DD"),""),IF('JobPlanner Data'!T34&lt;&gt;"",IF(ISNUMBER('JobPlanner Data'!T34),TEXT('JobPlanner Data'!T34,"YYYY-MM-DD"),""),""))</f>
        <v/>
      </c>
      <c r="M33">
        <f>IF('JobPlanner Data'!S34="","",IF(ISNUMBER('JobPlanner Data'!S34),TEXT('JobPlanner Data'!S34,"YYYY-MM-DD"),""))</f>
        <v/>
      </c>
      <c r="N33">
        <f>IF('JobPlanner Data'!R34="","",IF(ISNUMBER('JobPlanner Data'!R34),TEXT('JobPlanner Data'!R34,"YYYY-MM-DD"),""))</f>
        <v/>
      </c>
      <c r="O33">
        <f>IF('JobPlanner Data'!U34="","",IF(ISNUMBER('JobPlanner Data'!U34),TEXT('JobPlanner Data'!U34,"YYYY-MM-DD"),""))</f>
        <v/>
      </c>
      <c r="P33">
        <f>IF('JobPlanner Data'!O34="","","JobPlanner Data'!O34)</f>
        <v/>
      </c>
      <c r="Q33">
        <f>IF('JobPlanner Data'!P34="","","JobPlanner Data'!P34)</f>
        <v/>
      </c>
    </row>
    <row r="34">
      <c r="A34">
        <f>IF('JobPlanner Data'!A35="","",IF(ISBLANK('JobPlanner Data'!A35),"",'JobPlanner Data'!A35))</f>
        <v/>
      </c>
      <c r="B34">
        <f>IF('JobPlanner Data'!B35="","",LOWER('JobPlanner Data'!B35))</f>
        <v/>
      </c>
      <c r="C34">
        <f>IF('JobPlanner Data'!D35&lt;&gt;"","JobPlanner Data'!D35,IF('JobPlanner Data'!F35&lt;&gt;"","JobPlanner Data'!F35,""))</f>
        <v/>
      </c>
      <c r="D34">
        <f>IF('JobPlanner Data'!J35="","",LOWER('JobPlanner Data'!J35))</f>
        <v/>
      </c>
      <c r="E34">
        <f>IF('JobPlanner Data'!C35="","",IFERROR(VLOOKUP('JobPlanner Data'!C35,'Company Lookup'!A:B,2,FALSE),"[NOT FOUND]"))</f>
        <v/>
      </c>
      <c r="F34" s="5">
        <f>IF('JobPlanner Data'!G35="","",VALUE(SUBSTITUTE(SUBSTITUTE('JobPlanner Data'!G35,"$",""),",","")))</f>
        <v/>
      </c>
      <c r="G34">
        <f>"amount"</f>
        <v/>
      </c>
      <c r="H34">
        <f>IF('JobPlanner Data'!L35="","","JobPlanner Data'!L35)</f>
        <v/>
      </c>
      <c r="I34">
        <f>IF('JobPlanner Data'!H35="","","JobPlanner Data'!H35)</f>
        <v/>
      </c>
      <c r="J34">
        <f>IF('JobPlanner Data'!N35="","",IF(ISNUMBER('JobPlanner Data'!N35),TEXT('JobPlanner Data'!N35,"YYYY-MM-DD"),""))</f>
        <v/>
      </c>
      <c r="K34">
        <f>IF('JobPlanner Data'!Q35="","",IF(ISNUMBER('JobPlanner Data'!Q35),TEXT('JobPlanner Data'!Q35,"YYYY-MM-DD"),""))</f>
        <v/>
      </c>
      <c r="L34">
        <f>IF('JobPlanner Data'!I35&lt;&gt;"",IF(ISNUMBER('JobPlanner Data'!I35),TEXT('JobPlanner Data'!I35,"YYYY-MM-DD"),""),IF('JobPlanner Data'!T35&lt;&gt;"",IF(ISNUMBER('JobPlanner Data'!T35),TEXT('JobPlanner Data'!T35,"YYYY-MM-DD"),""),""))</f>
        <v/>
      </c>
      <c r="M34">
        <f>IF('JobPlanner Data'!S35="","",IF(ISNUMBER('JobPlanner Data'!S35),TEXT('JobPlanner Data'!S35,"YYYY-MM-DD"),""))</f>
        <v/>
      </c>
      <c r="N34">
        <f>IF('JobPlanner Data'!R35="","",IF(ISNUMBER('JobPlanner Data'!R35),TEXT('JobPlanner Data'!R35,"YYYY-MM-DD"),""))</f>
        <v/>
      </c>
      <c r="O34">
        <f>IF('JobPlanner Data'!U35="","",IF(ISNUMBER('JobPlanner Data'!U35),TEXT('JobPlanner Data'!U35,"YYYY-MM-DD"),""))</f>
        <v/>
      </c>
      <c r="P34">
        <f>IF('JobPlanner Data'!O35="","","JobPlanner Data'!O35)</f>
        <v/>
      </c>
      <c r="Q34">
        <f>IF('JobPlanner Data'!P35="","","JobPlanner Data'!P35)</f>
        <v/>
      </c>
    </row>
    <row r="35">
      <c r="A35">
        <f>IF('JobPlanner Data'!A36="","",IF(ISBLANK('JobPlanner Data'!A36),"",'JobPlanner Data'!A36))</f>
        <v/>
      </c>
      <c r="B35">
        <f>IF('JobPlanner Data'!B36="","",LOWER('JobPlanner Data'!B36))</f>
        <v/>
      </c>
      <c r="C35">
        <f>IF('JobPlanner Data'!D36&lt;&gt;"","JobPlanner Data'!D36,IF('JobPlanner Data'!F36&lt;&gt;"","JobPlanner Data'!F36,""))</f>
        <v/>
      </c>
      <c r="D35">
        <f>IF('JobPlanner Data'!J36="","",LOWER('JobPlanner Data'!J36))</f>
        <v/>
      </c>
      <c r="E35">
        <f>IF('JobPlanner Data'!C36="","",IFERROR(VLOOKUP('JobPlanner Data'!C36,'Company Lookup'!A:B,2,FALSE),"[NOT FOUND]"))</f>
        <v/>
      </c>
      <c r="F35" s="5">
        <f>IF('JobPlanner Data'!G36="","",VALUE(SUBSTITUTE(SUBSTITUTE('JobPlanner Data'!G36,"$",""),",","")))</f>
        <v/>
      </c>
      <c r="G35">
        <f>"amount"</f>
        <v/>
      </c>
      <c r="H35">
        <f>IF('JobPlanner Data'!L36="","","JobPlanner Data'!L36)</f>
        <v/>
      </c>
      <c r="I35">
        <f>IF('JobPlanner Data'!H36="","","JobPlanner Data'!H36)</f>
        <v/>
      </c>
      <c r="J35">
        <f>IF('JobPlanner Data'!N36="","",IF(ISNUMBER('JobPlanner Data'!N36),TEXT('JobPlanner Data'!N36,"YYYY-MM-DD"),""))</f>
        <v/>
      </c>
      <c r="K35">
        <f>IF('JobPlanner Data'!Q36="","",IF(ISNUMBER('JobPlanner Data'!Q36),TEXT('JobPlanner Data'!Q36,"YYYY-MM-DD"),""))</f>
        <v/>
      </c>
      <c r="L35">
        <f>IF('JobPlanner Data'!I36&lt;&gt;"",IF(ISNUMBER('JobPlanner Data'!I36),TEXT('JobPlanner Data'!I36,"YYYY-MM-DD"),""),IF('JobPlanner Data'!T36&lt;&gt;"",IF(ISNUMBER('JobPlanner Data'!T36),TEXT('JobPlanner Data'!T36,"YYYY-MM-DD"),""),""))</f>
        <v/>
      </c>
      <c r="M35">
        <f>IF('JobPlanner Data'!S36="","",IF(ISNUMBER('JobPlanner Data'!S36),TEXT('JobPlanner Data'!S36,"YYYY-MM-DD"),""))</f>
        <v/>
      </c>
      <c r="N35">
        <f>IF('JobPlanner Data'!R36="","",IF(ISNUMBER('JobPlanner Data'!R36),TEXT('JobPlanner Data'!R36,"YYYY-MM-DD"),""))</f>
        <v/>
      </c>
      <c r="O35">
        <f>IF('JobPlanner Data'!U36="","",IF(ISNUMBER('JobPlanner Data'!U36),TEXT('JobPlanner Data'!U36,"YYYY-MM-DD"),""))</f>
        <v/>
      </c>
      <c r="P35">
        <f>IF('JobPlanner Data'!O36="","","JobPlanner Data'!O36)</f>
        <v/>
      </c>
      <c r="Q35">
        <f>IF('JobPlanner Data'!P36="","","JobPlanner Data'!P36)</f>
        <v/>
      </c>
    </row>
    <row r="36">
      <c r="A36">
        <f>IF('JobPlanner Data'!A37="","",IF(ISBLANK('JobPlanner Data'!A37),"",'JobPlanner Data'!A37))</f>
        <v/>
      </c>
      <c r="B36">
        <f>IF('JobPlanner Data'!B37="","",LOWER('JobPlanner Data'!B37))</f>
        <v/>
      </c>
      <c r="C36">
        <f>IF('JobPlanner Data'!D37&lt;&gt;"","JobPlanner Data'!D37,IF('JobPlanner Data'!F37&lt;&gt;"","JobPlanner Data'!F37,""))</f>
        <v/>
      </c>
      <c r="D36">
        <f>IF('JobPlanner Data'!J37="","",LOWER('JobPlanner Data'!J37))</f>
        <v/>
      </c>
      <c r="E36">
        <f>IF('JobPlanner Data'!C37="","",IFERROR(VLOOKUP('JobPlanner Data'!C37,'Company Lookup'!A:B,2,FALSE),"[NOT FOUND]"))</f>
        <v/>
      </c>
      <c r="F36" s="5">
        <f>IF('JobPlanner Data'!G37="","",VALUE(SUBSTITUTE(SUBSTITUTE('JobPlanner Data'!G37,"$",""),",","")))</f>
        <v/>
      </c>
      <c r="G36">
        <f>"amount"</f>
        <v/>
      </c>
      <c r="H36">
        <f>IF('JobPlanner Data'!L37="","","JobPlanner Data'!L37)</f>
        <v/>
      </c>
      <c r="I36">
        <f>IF('JobPlanner Data'!H37="","","JobPlanner Data'!H37)</f>
        <v/>
      </c>
      <c r="J36">
        <f>IF('JobPlanner Data'!N37="","",IF(ISNUMBER('JobPlanner Data'!N37),TEXT('JobPlanner Data'!N37,"YYYY-MM-DD"),""))</f>
        <v/>
      </c>
      <c r="K36">
        <f>IF('JobPlanner Data'!Q37="","",IF(ISNUMBER('JobPlanner Data'!Q37),TEXT('JobPlanner Data'!Q37,"YYYY-MM-DD"),""))</f>
        <v/>
      </c>
      <c r="L36">
        <f>IF('JobPlanner Data'!I37&lt;&gt;"",IF(ISNUMBER('JobPlanner Data'!I37),TEXT('JobPlanner Data'!I37,"YYYY-MM-DD"),""),IF('JobPlanner Data'!T37&lt;&gt;"",IF(ISNUMBER('JobPlanner Data'!T37),TEXT('JobPlanner Data'!T37,"YYYY-MM-DD"),""),""))</f>
        <v/>
      </c>
      <c r="M36">
        <f>IF('JobPlanner Data'!S37="","",IF(ISNUMBER('JobPlanner Data'!S37),TEXT('JobPlanner Data'!S37,"YYYY-MM-DD"),""))</f>
        <v/>
      </c>
      <c r="N36">
        <f>IF('JobPlanner Data'!R37="","",IF(ISNUMBER('JobPlanner Data'!R37),TEXT('JobPlanner Data'!R37,"YYYY-MM-DD"),""))</f>
        <v/>
      </c>
      <c r="O36">
        <f>IF('JobPlanner Data'!U37="","",IF(ISNUMBER('JobPlanner Data'!U37),TEXT('JobPlanner Data'!U37,"YYYY-MM-DD"),""))</f>
        <v/>
      </c>
      <c r="P36">
        <f>IF('JobPlanner Data'!O37="","","JobPlanner Data'!O37)</f>
        <v/>
      </c>
      <c r="Q36">
        <f>IF('JobPlanner Data'!P37="","","JobPlanner Data'!P37)</f>
        <v/>
      </c>
    </row>
    <row r="37">
      <c r="A37">
        <f>IF('JobPlanner Data'!A38="","",IF(ISBLANK('JobPlanner Data'!A38),"",'JobPlanner Data'!A38))</f>
        <v/>
      </c>
      <c r="B37">
        <f>IF('JobPlanner Data'!B38="","",LOWER('JobPlanner Data'!B38))</f>
        <v/>
      </c>
      <c r="C37">
        <f>IF('JobPlanner Data'!D38&lt;&gt;"","JobPlanner Data'!D38,IF('JobPlanner Data'!F38&lt;&gt;"","JobPlanner Data'!F38,""))</f>
        <v/>
      </c>
      <c r="D37">
        <f>IF('JobPlanner Data'!J38="","",LOWER('JobPlanner Data'!J38))</f>
        <v/>
      </c>
      <c r="E37">
        <f>IF('JobPlanner Data'!C38="","",IFERROR(VLOOKUP('JobPlanner Data'!C38,'Company Lookup'!A:B,2,FALSE),"[NOT FOUND]"))</f>
        <v/>
      </c>
      <c r="F37" s="5">
        <f>IF('JobPlanner Data'!G38="","",VALUE(SUBSTITUTE(SUBSTITUTE('JobPlanner Data'!G38,"$",""),",","")))</f>
        <v/>
      </c>
      <c r="G37">
        <f>"amount"</f>
        <v/>
      </c>
      <c r="H37">
        <f>IF('JobPlanner Data'!L38="","","JobPlanner Data'!L38)</f>
        <v/>
      </c>
      <c r="I37">
        <f>IF('JobPlanner Data'!H38="","","JobPlanner Data'!H38)</f>
        <v/>
      </c>
      <c r="J37">
        <f>IF('JobPlanner Data'!N38="","",IF(ISNUMBER('JobPlanner Data'!N38),TEXT('JobPlanner Data'!N38,"YYYY-MM-DD"),""))</f>
        <v/>
      </c>
      <c r="K37">
        <f>IF('JobPlanner Data'!Q38="","",IF(ISNUMBER('JobPlanner Data'!Q38),TEXT('JobPlanner Data'!Q38,"YYYY-MM-DD"),""))</f>
        <v/>
      </c>
      <c r="L37">
        <f>IF('JobPlanner Data'!I38&lt;&gt;"",IF(ISNUMBER('JobPlanner Data'!I38),TEXT('JobPlanner Data'!I38,"YYYY-MM-DD"),""),IF('JobPlanner Data'!T38&lt;&gt;"",IF(ISNUMBER('JobPlanner Data'!T38),TEXT('JobPlanner Data'!T38,"YYYY-MM-DD"),""),""))</f>
        <v/>
      </c>
      <c r="M37">
        <f>IF('JobPlanner Data'!S38="","",IF(ISNUMBER('JobPlanner Data'!S38),TEXT('JobPlanner Data'!S38,"YYYY-MM-DD"),""))</f>
        <v/>
      </c>
      <c r="N37">
        <f>IF('JobPlanner Data'!R38="","",IF(ISNUMBER('JobPlanner Data'!R38),TEXT('JobPlanner Data'!R38,"YYYY-MM-DD"),""))</f>
        <v/>
      </c>
      <c r="O37">
        <f>IF('JobPlanner Data'!U38="","",IF(ISNUMBER('JobPlanner Data'!U38),TEXT('JobPlanner Data'!U38,"YYYY-MM-DD"),""))</f>
        <v/>
      </c>
      <c r="P37">
        <f>IF('JobPlanner Data'!O38="","","JobPlanner Data'!O38)</f>
        <v/>
      </c>
      <c r="Q37">
        <f>IF('JobPlanner Data'!P38="","","JobPlanner Data'!P38)</f>
        <v/>
      </c>
    </row>
    <row r="38">
      <c r="A38">
        <f>IF('JobPlanner Data'!A39="","",IF(ISBLANK('JobPlanner Data'!A39),"",'JobPlanner Data'!A39))</f>
        <v/>
      </c>
      <c r="B38">
        <f>IF('JobPlanner Data'!B39="","",LOWER('JobPlanner Data'!B39))</f>
        <v/>
      </c>
      <c r="C38">
        <f>IF('JobPlanner Data'!D39&lt;&gt;"","JobPlanner Data'!D39,IF('JobPlanner Data'!F39&lt;&gt;"","JobPlanner Data'!F39,""))</f>
        <v/>
      </c>
      <c r="D38">
        <f>IF('JobPlanner Data'!J39="","",LOWER('JobPlanner Data'!J39))</f>
        <v/>
      </c>
      <c r="E38">
        <f>IF('JobPlanner Data'!C39="","",IFERROR(VLOOKUP('JobPlanner Data'!C39,'Company Lookup'!A:B,2,FALSE),"[NOT FOUND]"))</f>
        <v/>
      </c>
      <c r="F38" s="5">
        <f>IF('JobPlanner Data'!G39="","",VALUE(SUBSTITUTE(SUBSTITUTE('JobPlanner Data'!G39,"$",""),",","")))</f>
        <v/>
      </c>
      <c r="G38">
        <f>"amount"</f>
        <v/>
      </c>
      <c r="H38">
        <f>IF('JobPlanner Data'!L39="","","JobPlanner Data'!L39)</f>
        <v/>
      </c>
      <c r="I38">
        <f>IF('JobPlanner Data'!H39="","","JobPlanner Data'!H39)</f>
        <v/>
      </c>
      <c r="J38">
        <f>IF('JobPlanner Data'!N39="","",IF(ISNUMBER('JobPlanner Data'!N39),TEXT('JobPlanner Data'!N39,"YYYY-MM-DD"),""))</f>
        <v/>
      </c>
      <c r="K38">
        <f>IF('JobPlanner Data'!Q39="","",IF(ISNUMBER('JobPlanner Data'!Q39),TEXT('JobPlanner Data'!Q39,"YYYY-MM-DD"),""))</f>
        <v/>
      </c>
      <c r="L38">
        <f>IF('JobPlanner Data'!I39&lt;&gt;"",IF(ISNUMBER('JobPlanner Data'!I39),TEXT('JobPlanner Data'!I39,"YYYY-MM-DD"),""),IF('JobPlanner Data'!T39&lt;&gt;"",IF(ISNUMBER('JobPlanner Data'!T39),TEXT('JobPlanner Data'!T39,"YYYY-MM-DD"),""),""))</f>
        <v/>
      </c>
      <c r="M38">
        <f>IF('JobPlanner Data'!S39="","",IF(ISNUMBER('JobPlanner Data'!S39),TEXT('JobPlanner Data'!S39,"YYYY-MM-DD"),""))</f>
        <v/>
      </c>
      <c r="N38">
        <f>IF('JobPlanner Data'!R39="","",IF(ISNUMBER('JobPlanner Data'!R39),TEXT('JobPlanner Data'!R39,"YYYY-MM-DD"),""))</f>
        <v/>
      </c>
      <c r="O38">
        <f>IF('JobPlanner Data'!U39="","",IF(ISNUMBER('JobPlanner Data'!U39),TEXT('JobPlanner Data'!U39,"YYYY-MM-DD"),""))</f>
        <v/>
      </c>
      <c r="P38">
        <f>IF('JobPlanner Data'!O39="","","JobPlanner Data'!O39)</f>
        <v/>
      </c>
      <c r="Q38">
        <f>IF('JobPlanner Data'!P39="","","JobPlanner Data'!P39)</f>
        <v/>
      </c>
    </row>
    <row r="39">
      <c r="A39">
        <f>IF('JobPlanner Data'!A40="","",IF(ISBLANK('JobPlanner Data'!A40),"",'JobPlanner Data'!A40))</f>
        <v/>
      </c>
      <c r="B39">
        <f>IF('JobPlanner Data'!B40="","",LOWER('JobPlanner Data'!B40))</f>
        <v/>
      </c>
      <c r="C39">
        <f>IF('JobPlanner Data'!D40&lt;&gt;"","JobPlanner Data'!D40,IF('JobPlanner Data'!F40&lt;&gt;"","JobPlanner Data'!F40,""))</f>
        <v/>
      </c>
      <c r="D39">
        <f>IF('JobPlanner Data'!J40="","",LOWER('JobPlanner Data'!J40))</f>
        <v/>
      </c>
      <c r="E39">
        <f>IF('JobPlanner Data'!C40="","",IFERROR(VLOOKUP('JobPlanner Data'!C40,'Company Lookup'!A:B,2,FALSE),"[NOT FOUND]"))</f>
        <v/>
      </c>
      <c r="F39" s="5">
        <f>IF('JobPlanner Data'!G40="","",VALUE(SUBSTITUTE(SUBSTITUTE('JobPlanner Data'!G40,"$",""),",","")))</f>
        <v/>
      </c>
      <c r="G39">
        <f>"amount"</f>
        <v/>
      </c>
      <c r="H39">
        <f>IF('JobPlanner Data'!L40="","","JobPlanner Data'!L40)</f>
        <v/>
      </c>
      <c r="I39">
        <f>IF('JobPlanner Data'!H40="","","JobPlanner Data'!H40)</f>
        <v/>
      </c>
      <c r="J39">
        <f>IF('JobPlanner Data'!N40="","",IF(ISNUMBER('JobPlanner Data'!N40),TEXT('JobPlanner Data'!N40,"YYYY-MM-DD"),""))</f>
        <v/>
      </c>
      <c r="K39">
        <f>IF('JobPlanner Data'!Q40="","",IF(ISNUMBER('JobPlanner Data'!Q40),TEXT('JobPlanner Data'!Q40,"YYYY-MM-DD"),""))</f>
        <v/>
      </c>
      <c r="L39">
        <f>IF('JobPlanner Data'!I40&lt;&gt;"",IF(ISNUMBER('JobPlanner Data'!I40),TEXT('JobPlanner Data'!I40,"YYYY-MM-DD"),""),IF('JobPlanner Data'!T40&lt;&gt;"",IF(ISNUMBER('JobPlanner Data'!T40),TEXT('JobPlanner Data'!T40,"YYYY-MM-DD"),""),""))</f>
        <v/>
      </c>
      <c r="M39">
        <f>IF('JobPlanner Data'!S40="","",IF(ISNUMBER('JobPlanner Data'!S40),TEXT('JobPlanner Data'!S40,"YYYY-MM-DD"),""))</f>
        <v/>
      </c>
      <c r="N39">
        <f>IF('JobPlanner Data'!R40="","",IF(ISNUMBER('JobPlanner Data'!R40),TEXT('JobPlanner Data'!R40,"YYYY-MM-DD"),""))</f>
        <v/>
      </c>
      <c r="O39">
        <f>IF('JobPlanner Data'!U40="","",IF(ISNUMBER('JobPlanner Data'!U40),TEXT('JobPlanner Data'!U40,"YYYY-MM-DD"),""))</f>
        <v/>
      </c>
      <c r="P39">
        <f>IF('JobPlanner Data'!O40="","","JobPlanner Data'!O40)</f>
        <v/>
      </c>
      <c r="Q39">
        <f>IF('JobPlanner Data'!P40="","","JobPlanner Data'!P40)</f>
        <v/>
      </c>
    </row>
    <row r="40">
      <c r="A40">
        <f>IF('JobPlanner Data'!A41="","",IF(ISBLANK('JobPlanner Data'!A41),"",'JobPlanner Data'!A41))</f>
        <v/>
      </c>
      <c r="B40">
        <f>IF('JobPlanner Data'!B41="","",LOWER('JobPlanner Data'!B41))</f>
        <v/>
      </c>
      <c r="C40">
        <f>IF('JobPlanner Data'!D41&lt;&gt;"","JobPlanner Data'!D41,IF('JobPlanner Data'!F41&lt;&gt;"","JobPlanner Data'!F41,""))</f>
        <v/>
      </c>
      <c r="D40">
        <f>IF('JobPlanner Data'!J41="","",LOWER('JobPlanner Data'!J41))</f>
        <v/>
      </c>
      <c r="E40">
        <f>IF('JobPlanner Data'!C41="","",IFERROR(VLOOKUP('JobPlanner Data'!C41,'Company Lookup'!A:B,2,FALSE),"[NOT FOUND]"))</f>
        <v/>
      </c>
      <c r="F40" s="5">
        <f>IF('JobPlanner Data'!G41="","",VALUE(SUBSTITUTE(SUBSTITUTE('JobPlanner Data'!G41,"$",""),",","")))</f>
        <v/>
      </c>
      <c r="G40">
        <f>"amount"</f>
        <v/>
      </c>
      <c r="H40">
        <f>IF('JobPlanner Data'!L41="","","JobPlanner Data'!L41)</f>
        <v/>
      </c>
      <c r="I40">
        <f>IF('JobPlanner Data'!H41="","","JobPlanner Data'!H41)</f>
        <v/>
      </c>
      <c r="J40">
        <f>IF('JobPlanner Data'!N41="","",IF(ISNUMBER('JobPlanner Data'!N41),TEXT('JobPlanner Data'!N41,"YYYY-MM-DD"),""))</f>
        <v/>
      </c>
      <c r="K40">
        <f>IF('JobPlanner Data'!Q41="","",IF(ISNUMBER('JobPlanner Data'!Q41),TEXT('JobPlanner Data'!Q41,"YYYY-MM-DD"),""))</f>
        <v/>
      </c>
      <c r="L40">
        <f>IF('JobPlanner Data'!I41&lt;&gt;"",IF(ISNUMBER('JobPlanner Data'!I41),TEXT('JobPlanner Data'!I41,"YYYY-MM-DD"),""),IF('JobPlanner Data'!T41&lt;&gt;"",IF(ISNUMBER('JobPlanner Data'!T41),TEXT('JobPlanner Data'!T41,"YYYY-MM-DD"),""),""))</f>
        <v/>
      </c>
      <c r="M40">
        <f>IF('JobPlanner Data'!S41="","",IF(ISNUMBER('JobPlanner Data'!S41),TEXT('JobPlanner Data'!S41,"YYYY-MM-DD"),""))</f>
        <v/>
      </c>
      <c r="N40">
        <f>IF('JobPlanner Data'!R41="","",IF(ISNUMBER('JobPlanner Data'!R41),TEXT('JobPlanner Data'!R41,"YYYY-MM-DD"),""))</f>
        <v/>
      </c>
      <c r="O40">
        <f>IF('JobPlanner Data'!U41="","",IF(ISNUMBER('JobPlanner Data'!U41),TEXT('JobPlanner Data'!U41,"YYYY-MM-DD"),""))</f>
        <v/>
      </c>
      <c r="P40">
        <f>IF('JobPlanner Data'!O41="","","JobPlanner Data'!O41)</f>
        <v/>
      </c>
      <c r="Q40">
        <f>IF('JobPlanner Data'!P41="","","JobPlanner Data'!P41)</f>
        <v/>
      </c>
    </row>
    <row r="41">
      <c r="A41">
        <f>IF('JobPlanner Data'!A42="","",IF(ISBLANK('JobPlanner Data'!A42),"",'JobPlanner Data'!A42))</f>
        <v/>
      </c>
      <c r="B41">
        <f>IF('JobPlanner Data'!B42="","",LOWER('JobPlanner Data'!B42))</f>
        <v/>
      </c>
      <c r="C41">
        <f>IF('JobPlanner Data'!D42&lt;&gt;"","JobPlanner Data'!D42,IF('JobPlanner Data'!F42&lt;&gt;"","JobPlanner Data'!F42,""))</f>
        <v/>
      </c>
      <c r="D41">
        <f>IF('JobPlanner Data'!J42="","",LOWER('JobPlanner Data'!J42))</f>
        <v/>
      </c>
      <c r="E41">
        <f>IF('JobPlanner Data'!C42="","",IFERROR(VLOOKUP('JobPlanner Data'!C42,'Company Lookup'!A:B,2,FALSE),"[NOT FOUND]"))</f>
        <v/>
      </c>
      <c r="F41" s="5">
        <f>IF('JobPlanner Data'!G42="","",VALUE(SUBSTITUTE(SUBSTITUTE('JobPlanner Data'!G42,"$",""),",","")))</f>
        <v/>
      </c>
      <c r="G41">
        <f>"amount"</f>
        <v/>
      </c>
      <c r="H41">
        <f>IF('JobPlanner Data'!L42="","","JobPlanner Data'!L42)</f>
        <v/>
      </c>
      <c r="I41">
        <f>IF('JobPlanner Data'!H42="","","JobPlanner Data'!H42)</f>
        <v/>
      </c>
      <c r="J41">
        <f>IF('JobPlanner Data'!N42="","",IF(ISNUMBER('JobPlanner Data'!N42),TEXT('JobPlanner Data'!N42,"YYYY-MM-DD"),""))</f>
        <v/>
      </c>
      <c r="K41">
        <f>IF('JobPlanner Data'!Q42="","",IF(ISNUMBER('JobPlanner Data'!Q42),TEXT('JobPlanner Data'!Q42,"YYYY-MM-DD"),""))</f>
        <v/>
      </c>
      <c r="L41">
        <f>IF('JobPlanner Data'!I42&lt;&gt;"",IF(ISNUMBER('JobPlanner Data'!I42),TEXT('JobPlanner Data'!I42,"YYYY-MM-DD"),""),IF('JobPlanner Data'!T42&lt;&gt;"",IF(ISNUMBER('JobPlanner Data'!T42),TEXT('JobPlanner Data'!T42,"YYYY-MM-DD"),""),""))</f>
        <v/>
      </c>
      <c r="M41">
        <f>IF('JobPlanner Data'!S42="","",IF(ISNUMBER('JobPlanner Data'!S42),TEXT('JobPlanner Data'!S42,"YYYY-MM-DD"),""))</f>
        <v/>
      </c>
      <c r="N41">
        <f>IF('JobPlanner Data'!R42="","",IF(ISNUMBER('JobPlanner Data'!R42),TEXT('JobPlanner Data'!R42,"YYYY-MM-DD"),""))</f>
        <v/>
      </c>
      <c r="O41">
        <f>IF('JobPlanner Data'!U42="","",IF(ISNUMBER('JobPlanner Data'!U42),TEXT('JobPlanner Data'!U42,"YYYY-MM-DD"),""))</f>
        <v/>
      </c>
      <c r="P41">
        <f>IF('JobPlanner Data'!O42="","","JobPlanner Data'!O42)</f>
        <v/>
      </c>
      <c r="Q41">
        <f>IF('JobPlanner Data'!P42="","","JobPlanner Data'!P42)</f>
        <v/>
      </c>
    </row>
    <row r="42">
      <c r="A42">
        <f>IF('JobPlanner Data'!A43="","",IF(ISBLANK('JobPlanner Data'!A43),"",'JobPlanner Data'!A43))</f>
        <v/>
      </c>
      <c r="B42">
        <f>IF('JobPlanner Data'!B43="","",LOWER('JobPlanner Data'!B43))</f>
        <v/>
      </c>
      <c r="C42">
        <f>IF('JobPlanner Data'!D43&lt;&gt;"","JobPlanner Data'!D43,IF('JobPlanner Data'!F43&lt;&gt;"","JobPlanner Data'!F43,""))</f>
        <v/>
      </c>
      <c r="D42">
        <f>IF('JobPlanner Data'!J43="","",LOWER('JobPlanner Data'!J43))</f>
        <v/>
      </c>
      <c r="E42">
        <f>IF('JobPlanner Data'!C43="","",IFERROR(VLOOKUP('JobPlanner Data'!C43,'Company Lookup'!A:B,2,FALSE),"[NOT FOUND]"))</f>
        <v/>
      </c>
      <c r="F42" s="5">
        <f>IF('JobPlanner Data'!G43="","",VALUE(SUBSTITUTE(SUBSTITUTE('JobPlanner Data'!G43,"$",""),",","")))</f>
        <v/>
      </c>
      <c r="G42">
        <f>"amount"</f>
        <v/>
      </c>
      <c r="H42">
        <f>IF('JobPlanner Data'!L43="","","JobPlanner Data'!L43)</f>
        <v/>
      </c>
      <c r="I42">
        <f>IF('JobPlanner Data'!H43="","","JobPlanner Data'!H43)</f>
        <v/>
      </c>
      <c r="J42">
        <f>IF('JobPlanner Data'!N43="","",IF(ISNUMBER('JobPlanner Data'!N43),TEXT('JobPlanner Data'!N43,"YYYY-MM-DD"),""))</f>
        <v/>
      </c>
      <c r="K42">
        <f>IF('JobPlanner Data'!Q43="","",IF(ISNUMBER('JobPlanner Data'!Q43),TEXT('JobPlanner Data'!Q43,"YYYY-MM-DD"),""))</f>
        <v/>
      </c>
      <c r="L42">
        <f>IF('JobPlanner Data'!I43&lt;&gt;"",IF(ISNUMBER('JobPlanner Data'!I43),TEXT('JobPlanner Data'!I43,"YYYY-MM-DD"),""),IF('JobPlanner Data'!T43&lt;&gt;"",IF(ISNUMBER('JobPlanner Data'!T43),TEXT('JobPlanner Data'!T43,"YYYY-MM-DD"),""),""))</f>
        <v/>
      </c>
      <c r="M42">
        <f>IF('JobPlanner Data'!S43="","",IF(ISNUMBER('JobPlanner Data'!S43),TEXT('JobPlanner Data'!S43,"YYYY-MM-DD"),""))</f>
        <v/>
      </c>
      <c r="N42">
        <f>IF('JobPlanner Data'!R43="","",IF(ISNUMBER('JobPlanner Data'!R43),TEXT('JobPlanner Data'!R43,"YYYY-MM-DD"),""))</f>
        <v/>
      </c>
      <c r="O42">
        <f>IF('JobPlanner Data'!U43="","",IF(ISNUMBER('JobPlanner Data'!U43),TEXT('JobPlanner Data'!U43,"YYYY-MM-DD"),""))</f>
        <v/>
      </c>
      <c r="P42">
        <f>IF('JobPlanner Data'!O43="","","JobPlanner Data'!O43)</f>
        <v/>
      </c>
      <c r="Q42">
        <f>IF('JobPlanner Data'!P43="","","JobPlanner Data'!P43)</f>
        <v/>
      </c>
    </row>
    <row r="43">
      <c r="A43">
        <f>IF('JobPlanner Data'!A44="","",IF(ISBLANK('JobPlanner Data'!A44),"",'JobPlanner Data'!A44))</f>
        <v/>
      </c>
      <c r="B43">
        <f>IF('JobPlanner Data'!B44="","",LOWER('JobPlanner Data'!B44))</f>
        <v/>
      </c>
      <c r="C43">
        <f>IF('JobPlanner Data'!D44&lt;&gt;"","JobPlanner Data'!D44,IF('JobPlanner Data'!F44&lt;&gt;"","JobPlanner Data'!F44,""))</f>
        <v/>
      </c>
      <c r="D43">
        <f>IF('JobPlanner Data'!J44="","",LOWER('JobPlanner Data'!J44))</f>
        <v/>
      </c>
      <c r="E43">
        <f>IF('JobPlanner Data'!C44="","",IFERROR(VLOOKUP('JobPlanner Data'!C44,'Company Lookup'!A:B,2,FALSE),"[NOT FOUND]"))</f>
        <v/>
      </c>
      <c r="F43" s="5">
        <f>IF('JobPlanner Data'!G44="","",VALUE(SUBSTITUTE(SUBSTITUTE('JobPlanner Data'!G44,"$",""),",","")))</f>
        <v/>
      </c>
      <c r="G43">
        <f>"amount"</f>
        <v/>
      </c>
      <c r="H43">
        <f>IF('JobPlanner Data'!L44="","","JobPlanner Data'!L44)</f>
        <v/>
      </c>
      <c r="I43">
        <f>IF('JobPlanner Data'!H44="","","JobPlanner Data'!H44)</f>
        <v/>
      </c>
      <c r="J43">
        <f>IF('JobPlanner Data'!N44="","",IF(ISNUMBER('JobPlanner Data'!N44),TEXT('JobPlanner Data'!N44,"YYYY-MM-DD"),""))</f>
        <v/>
      </c>
      <c r="K43">
        <f>IF('JobPlanner Data'!Q44="","",IF(ISNUMBER('JobPlanner Data'!Q44),TEXT('JobPlanner Data'!Q44,"YYYY-MM-DD"),""))</f>
        <v/>
      </c>
      <c r="L43">
        <f>IF('JobPlanner Data'!I44&lt;&gt;"",IF(ISNUMBER('JobPlanner Data'!I44),TEXT('JobPlanner Data'!I44,"YYYY-MM-DD"),""),IF('JobPlanner Data'!T44&lt;&gt;"",IF(ISNUMBER('JobPlanner Data'!T44),TEXT('JobPlanner Data'!T44,"YYYY-MM-DD"),""),""))</f>
        <v/>
      </c>
      <c r="M43">
        <f>IF('JobPlanner Data'!S44="","",IF(ISNUMBER('JobPlanner Data'!S44),TEXT('JobPlanner Data'!S44,"YYYY-MM-DD"),""))</f>
        <v/>
      </c>
      <c r="N43">
        <f>IF('JobPlanner Data'!R44="","",IF(ISNUMBER('JobPlanner Data'!R44),TEXT('JobPlanner Data'!R44,"YYYY-MM-DD"),""))</f>
        <v/>
      </c>
      <c r="O43">
        <f>IF('JobPlanner Data'!U44="","",IF(ISNUMBER('JobPlanner Data'!U44),TEXT('JobPlanner Data'!U44,"YYYY-MM-DD"),""))</f>
        <v/>
      </c>
      <c r="P43">
        <f>IF('JobPlanner Data'!O44="","","JobPlanner Data'!O44)</f>
        <v/>
      </c>
      <c r="Q43">
        <f>IF('JobPlanner Data'!P44="","","JobPlanner Data'!P44)</f>
        <v/>
      </c>
    </row>
    <row r="44">
      <c r="A44">
        <f>IF('JobPlanner Data'!A45="","",IF(ISBLANK('JobPlanner Data'!A45),"",'JobPlanner Data'!A45))</f>
        <v/>
      </c>
      <c r="B44">
        <f>IF('JobPlanner Data'!B45="","",LOWER('JobPlanner Data'!B45))</f>
        <v/>
      </c>
      <c r="C44">
        <f>IF('JobPlanner Data'!D45&lt;&gt;"","JobPlanner Data'!D45,IF('JobPlanner Data'!F45&lt;&gt;"","JobPlanner Data'!F45,""))</f>
        <v/>
      </c>
      <c r="D44">
        <f>IF('JobPlanner Data'!J45="","",LOWER('JobPlanner Data'!J45))</f>
        <v/>
      </c>
      <c r="E44">
        <f>IF('JobPlanner Data'!C45="","",IFERROR(VLOOKUP('JobPlanner Data'!C45,'Company Lookup'!A:B,2,FALSE),"[NOT FOUND]"))</f>
        <v/>
      </c>
      <c r="F44" s="5">
        <f>IF('JobPlanner Data'!G45="","",VALUE(SUBSTITUTE(SUBSTITUTE('JobPlanner Data'!G45,"$",""),",","")))</f>
        <v/>
      </c>
      <c r="G44">
        <f>"amount"</f>
        <v/>
      </c>
      <c r="H44">
        <f>IF('JobPlanner Data'!L45="","","JobPlanner Data'!L45)</f>
        <v/>
      </c>
      <c r="I44">
        <f>IF('JobPlanner Data'!H45="","","JobPlanner Data'!H45)</f>
        <v/>
      </c>
      <c r="J44">
        <f>IF('JobPlanner Data'!N45="","",IF(ISNUMBER('JobPlanner Data'!N45),TEXT('JobPlanner Data'!N45,"YYYY-MM-DD"),""))</f>
        <v/>
      </c>
      <c r="K44">
        <f>IF('JobPlanner Data'!Q45="","",IF(ISNUMBER('JobPlanner Data'!Q45),TEXT('JobPlanner Data'!Q45,"YYYY-MM-DD"),""))</f>
        <v/>
      </c>
      <c r="L44">
        <f>IF('JobPlanner Data'!I45&lt;&gt;"",IF(ISNUMBER('JobPlanner Data'!I45),TEXT('JobPlanner Data'!I45,"YYYY-MM-DD"),""),IF('JobPlanner Data'!T45&lt;&gt;"",IF(ISNUMBER('JobPlanner Data'!T45),TEXT('JobPlanner Data'!T45,"YYYY-MM-DD"),""),""))</f>
        <v/>
      </c>
      <c r="M44">
        <f>IF('JobPlanner Data'!S45="","",IF(ISNUMBER('JobPlanner Data'!S45),TEXT('JobPlanner Data'!S45,"YYYY-MM-DD"),""))</f>
        <v/>
      </c>
      <c r="N44">
        <f>IF('JobPlanner Data'!R45="","",IF(ISNUMBER('JobPlanner Data'!R45),TEXT('JobPlanner Data'!R45,"YYYY-MM-DD"),""))</f>
        <v/>
      </c>
      <c r="O44">
        <f>IF('JobPlanner Data'!U45="","",IF(ISNUMBER('JobPlanner Data'!U45),TEXT('JobPlanner Data'!U45,"YYYY-MM-DD"),""))</f>
        <v/>
      </c>
      <c r="P44">
        <f>IF('JobPlanner Data'!O45="","","JobPlanner Data'!O45)</f>
        <v/>
      </c>
      <c r="Q44">
        <f>IF('JobPlanner Data'!P45="","","JobPlanner Data'!P45)</f>
        <v/>
      </c>
    </row>
    <row r="45">
      <c r="A45">
        <f>IF('JobPlanner Data'!A46="","",IF(ISBLANK('JobPlanner Data'!A46),"",'JobPlanner Data'!A46))</f>
        <v/>
      </c>
      <c r="B45">
        <f>IF('JobPlanner Data'!B46="","",LOWER('JobPlanner Data'!B46))</f>
        <v/>
      </c>
      <c r="C45">
        <f>IF('JobPlanner Data'!D46&lt;&gt;"","JobPlanner Data'!D46,IF('JobPlanner Data'!F46&lt;&gt;"","JobPlanner Data'!F46,""))</f>
        <v/>
      </c>
      <c r="D45">
        <f>IF('JobPlanner Data'!J46="","",LOWER('JobPlanner Data'!J46))</f>
        <v/>
      </c>
      <c r="E45">
        <f>IF('JobPlanner Data'!C46="","",IFERROR(VLOOKUP('JobPlanner Data'!C46,'Company Lookup'!A:B,2,FALSE),"[NOT FOUND]"))</f>
        <v/>
      </c>
      <c r="F45" s="5">
        <f>IF('JobPlanner Data'!G46="","",VALUE(SUBSTITUTE(SUBSTITUTE('JobPlanner Data'!G46,"$",""),",","")))</f>
        <v/>
      </c>
      <c r="G45">
        <f>"amount"</f>
        <v/>
      </c>
      <c r="H45">
        <f>IF('JobPlanner Data'!L46="","","JobPlanner Data'!L46)</f>
        <v/>
      </c>
      <c r="I45">
        <f>IF('JobPlanner Data'!H46="","","JobPlanner Data'!H46)</f>
        <v/>
      </c>
      <c r="J45">
        <f>IF('JobPlanner Data'!N46="","",IF(ISNUMBER('JobPlanner Data'!N46),TEXT('JobPlanner Data'!N46,"YYYY-MM-DD"),""))</f>
        <v/>
      </c>
      <c r="K45">
        <f>IF('JobPlanner Data'!Q46="","",IF(ISNUMBER('JobPlanner Data'!Q46),TEXT('JobPlanner Data'!Q46,"YYYY-MM-DD"),""))</f>
        <v/>
      </c>
      <c r="L45">
        <f>IF('JobPlanner Data'!I46&lt;&gt;"",IF(ISNUMBER('JobPlanner Data'!I46),TEXT('JobPlanner Data'!I46,"YYYY-MM-DD"),""),IF('JobPlanner Data'!T46&lt;&gt;"",IF(ISNUMBER('JobPlanner Data'!T46),TEXT('JobPlanner Data'!T46,"YYYY-MM-DD"),""),""))</f>
        <v/>
      </c>
      <c r="M45">
        <f>IF('JobPlanner Data'!S46="","",IF(ISNUMBER('JobPlanner Data'!S46),TEXT('JobPlanner Data'!S46,"YYYY-MM-DD"),""))</f>
        <v/>
      </c>
      <c r="N45">
        <f>IF('JobPlanner Data'!R46="","",IF(ISNUMBER('JobPlanner Data'!R46),TEXT('JobPlanner Data'!R46,"YYYY-MM-DD"),""))</f>
        <v/>
      </c>
      <c r="O45">
        <f>IF('JobPlanner Data'!U46="","",IF(ISNUMBER('JobPlanner Data'!U46),TEXT('JobPlanner Data'!U46,"YYYY-MM-DD"),""))</f>
        <v/>
      </c>
      <c r="P45">
        <f>IF('JobPlanner Data'!O46="","","JobPlanner Data'!O46)</f>
        <v/>
      </c>
      <c r="Q45">
        <f>IF('JobPlanner Data'!P46="","","JobPlanner Data'!P46)</f>
        <v/>
      </c>
    </row>
    <row r="46">
      <c r="A46">
        <f>IF('JobPlanner Data'!A47="","",IF(ISBLANK('JobPlanner Data'!A47),"",'JobPlanner Data'!A47))</f>
        <v/>
      </c>
      <c r="B46">
        <f>IF('JobPlanner Data'!B47="","",LOWER('JobPlanner Data'!B47))</f>
        <v/>
      </c>
      <c r="C46">
        <f>IF('JobPlanner Data'!D47&lt;&gt;"","JobPlanner Data'!D47,IF('JobPlanner Data'!F47&lt;&gt;"","JobPlanner Data'!F47,""))</f>
        <v/>
      </c>
      <c r="D46">
        <f>IF('JobPlanner Data'!J47="","",LOWER('JobPlanner Data'!J47))</f>
        <v/>
      </c>
      <c r="E46">
        <f>IF('JobPlanner Data'!C47="","",IFERROR(VLOOKUP('JobPlanner Data'!C47,'Company Lookup'!A:B,2,FALSE),"[NOT FOUND]"))</f>
        <v/>
      </c>
      <c r="F46" s="5">
        <f>IF('JobPlanner Data'!G47="","",VALUE(SUBSTITUTE(SUBSTITUTE('JobPlanner Data'!G47,"$",""),",","")))</f>
        <v/>
      </c>
      <c r="G46">
        <f>"amount"</f>
        <v/>
      </c>
      <c r="H46">
        <f>IF('JobPlanner Data'!L47="","","JobPlanner Data'!L47)</f>
        <v/>
      </c>
      <c r="I46">
        <f>IF('JobPlanner Data'!H47="","","JobPlanner Data'!H47)</f>
        <v/>
      </c>
      <c r="J46">
        <f>IF('JobPlanner Data'!N47="","",IF(ISNUMBER('JobPlanner Data'!N47),TEXT('JobPlanner Data'!N47,"YYYY-MM-DD"),""))</f>
        <v/>
      </c>
      <c r="K46">
        <f>IF('JobPlanner Data'!Q47="","",IF(ISNUMBER('JobPlanner Data'!Q47),TEXT('JobPlanner Data'!Q47,"YYYY-MM-DD"),""))</f>
        <v/>
      </c>
      <c r="L46">
        <f>IF('JobPlanner Data'!I47&lt;&gt;"",IF(ISNUMBER('JobPlanner Data'!I47),TEXT('JobPlanner Data'!I47,"YYYY-MM-DD"),""),IF('JobPlanner Data'!T47&lt;&gt;"",IF(ISNUMBER('JobPlanner Data'!T47),TEXT('JobPlanner Data'!T47,"YYYY-MM-DD"),""),""))</f>
        <v/>
      </c>
      <c r="M46">
        <f>IF('JobPlanner Data'!S47="","",IF(ISNUMBER('JobPlanner Data'!S47),TEXT('JobPlanner Data'!S47,"YYYY-MM-DD"),""))</f>
        <v/>
      </c>
      <c r="N46">
        <f>IF('JobPlanner Data'!R47="","",IF(ISNUMBER('JobPlanner Data'!R47),TEXT('JobPlanner Data'!R47,"YYYY-MM-DD"),""))</f>
        <v/>
      </c>
      <c r="O46">
        <f>IF('JobPlanner Data'!U47="","",IF(ISNUMBER('JobPlanner Data'!U47),TEXT('JobPlanner Data'!U47,"YYYY-MM-DD"),""))</f>
        <v/>
      </c>
      <c r="P46">
        <f>IF('JobPlanner Data'!O47="","","JobPlanner Data'!O47)</f>
        <v/>
      </c>
      <c r="Q46">
        <f>IF('JobPlanner Data'!P47="","","JobPlanner Data'!P47)</f>
        <v/>
      </c>
    </row>
    <row r="47">
      <c r="A47">
        <f>IF('JobPlanner Data'!A48="","",IF(ISBLANK('JobPlanner Data'!A48),"",'JobPlanner Data'!A48))</f>
        <v/>
      </c>
      <c r="B47">
        <f>IF('JobPlanner Data'!B48="","",LOWER('JobPlanner Data'!B48))</f>
        <v/>
      </c>
      <c r="C47">
        <f>IF('JobPlanner Data'!D48&lt;&gt;"","JobPlanner Data'!D48,IF('JobPlanner Data'!F48&lt;&gt;"","JobPlanner Data'!F48,""))</f>
        <v/>
      </c>
      <c r="D47">
        <f>IF('JobPlanner Data'!J48="","",LOWER('JobPlanner Data'!J48))</f>
        <v/>
      </c>
      <c r="E47">
        <f>IF('JobPlanner Data'!C48="","",IFERROR(VLOOKUP('JobPlanner Data'!C48,'Company Lookup'!A:B,2,FALSE),"[NOT FOUND]"))</f>
        <v/>
      </c>
      <c r="F47" s="5">
        <f>IF('JobPlanner Data'!G48="","",VALUE(SUBSTITUTE(SUBSTITUTE('JobPlanner Data'!G48,"$",""),",","")))</f>
        <v/>
      </c>
      <c r="G47">
        <f>"amount"</f>
        <v/>
      </c>
      <c r="H47">
        <f>IF('JobPlanner Data'!L48="","","JobPlanner Data'!L48)</f>
        <v/>
      </c>
      <c r="I47">
        <f>IF('JobPlanner Data'!H48="","","JobPlanner Data'!H48)</f>
        <v/>
      </c>
      <c r="J47">
        <f>IF('JobPlanner Data'!N48="","",IF(ISNUMBER('JobPlanner Data'!N48),TEXT('JobPlanner Data'!N48,"YYYY-MM-DD"),""))</f>
        <v/>
      </c>
      <c r="K47">
        <f>IF('JobPlanner Data'!Q48="","",IF(ISNUMBER('JobPlanner Data'!Q48),TEXT('JobPlanner Data'!Q48,"YYYY-MM-DD"),""))</f>
        <v/>
      </c>
      <c r="L47">
        <f>IF('JobPlanner Data'!I48&lt;&gt;"",IF(ISNUMBER('JobPlanner Data'!I48),TEXT('JobPlanner Data'!I48,"YYYY-MM-DD"),""),IF('JobPlanner Data'!T48&lt;&gt;"",IF(ISNUMBER('JobPlanner Data'!T48),TEXT('JobPlanner Data'!T48,"YYYY-MM-DD"),""),""))</f>
        <v/>
      </c>
      <c r="M47">
        <f>IF('JobPlanner Data'!S48="","",IF(ISNUMBER('JobPlanner Data'!S48),TEXT('JobPlanner Data'!S48,"YYYY-MM-DD"),""))</f>
        <v/>
      </c>
      <c r="N47">
        <f>IF('JobPlanner Data'!R48="","",IF(ISNUMBER('JobPlanner Data'!R48),TEXT('JobPlanner Data'!R48,"YYYY-MM-DD"),""))</f>
        <v/>
      </c>
      <c r="O47">
        <f>IF('JobPlanner Data'!U48="","",IF(ISNUMBER('JobPlanner Data'!U48),TEXT('JobPlanner Data'!U48,"YYYY-MM-DD"),""))</f>
        <v/>
      </c>
      <c r="P47">
        <f>IF('JobPlanner Data'!O48="","","JobPlanner Data'!O48)</f>
        <v/>
      </c>
      <c r="Q47">
        <f>IF('JobPlanner Data'!P48="","","JobPlanner Data'!P48)</f>
        <v/>
      </c>
    </row>
    <row r="48">
      <c r="A48">
        <f>IF('JobPlanner Data'!A49="","",IF(ISBLANK('JobPlanner Data'!A49),"",'JobPlanner Data'!A49))</f>
        <v/>
      </c>
      <c r="B48">
        <f>IF('JobPlanner Data'!B49="","",LOWER('JobPlanner Data'!B49))</f>
        <v/>
      </c>
      <c r="C48">
        <f>IF('JobPlanner Data'!D49&lt;&gt;"","JobPlanner Data'!D49,IF('JobPlanner Data'!F49&lt;&gt;"","JobPlanner Data'!F49,""))</f>
        <v/>
      </c>
      <c r="D48">
        <f>IF('JobPlanner Data'!J49="","",LOWER('JobPlanner Data'!J49))</f>
        <v/>
      </c>
      <c r="E48">
        <f>IF('JobPlanner Data'!C49="","",IFERROR(VLOOKUP('JobPlanner Data'!C49,'Company Lookup'!A:B,2,FALSE),"[NOT FOUND]"))</f>
        <v/>
      </c>
      <c r="F48" s="5">
        <f>IF('JobPlanner Data'!G49="","",VALUE(SUBSTITUTE(SUBSTITUTE('JobPlanner Data'!G49,"$",""),",","")))</f>
        <v/>
      </c>
      <c r="G48">
        <f>"amount"</f>
        <v/>
      </c>
      <c r="H48">
        <f>IF('JobPlanner Data'!L49="","","JobPlanner Data'!L49)</f>
        <v/>
      </c>
      <c r="I48">
        <f>IF('JobPlanner Data'!H49="","","JobPlanner Data'!H49)</f>
        <v/>
      </c>
      <c r="J48">
        <f>IF('JobPlanner Data'!N49="","",IF(ISNUMBER('JobPlanner Data'!N49),TEXT('JobPlanner Data'!N49,"YYYY-MM-DD"),""))</f>
        <v/>
      </c>
      <c r="K48">
        <f>IF('JobPlanner Data'!Q49="","",IF(ISNUMBER('JobPlanner Data'!Q49),TEXT('JobPlanner Data'!Q49,"YYYY-MM-DD"),""))</f>
        <v/>
      </c>
      <c r="L48">
        <f>IF('JobPlanner Data'!I49&lt;&gt;"",IF(ISNUMBER('JobPlanner Data'!I49),TEXT('JobPlanner Data'!I49,"YYYY-MM-DD"),""),IF('JobPlanner Data'!T49&lt;&gt;"",IF(ISNUMBER('JobPlanner Data'!T49),TEXT('JobPlanner Data'!T49,"YYYY-MM-DD"),""),""))</f>
        <v/>
      </c>
      <c r="M48">
        <f>IF('JobPlanner Data'!S49="","",IF(ISNUMBER('JobPlanner Data'!S49),TEXT('JobPlanner Data'!S49,"YYYY-MM-DD"),""))</f>
        <v/>
      </c>
      <c r="N48">
        <f>IF('JobPlanner Data'!R49="","",IF(ISNUMBER('JobPlanner Data'!R49),TEXT('JobPlanner Data'!R49,"YYYY-MM-DD"),""))</f>
        <v/>
      </c>
      <c r="O48">
        <f>IF('JobPlanner Data'!U49="","",IF(ISNUMBER('JobPlanner Data'!U49),TEXT('JobPlanner Data'!U49,"YYYY-MM-DD"),""))</f>
        <v/>
      </c>
      <c r="P48">
        <f>IF('JobPlanner Data'!O49="","","JobPlanner Data'!O49)</f>
        <v/>
      </c>
      <c r="Q48">
        <f>IF('JobPlanner Data'!P49="","","JobPlanner Data'!P49)</f>
        <v/>
      </c>
    </row>
    <row r="49">
      <c r="A49">
        <f>IF('JobPlanner Data'!A50="","",IF(ISBLANK('JobPlanner Data'!A50),"",'JobPlanner Data'!A50))</f>
        <v/>
      </c>
      <c r="B49">
        <f>IF('JobPlanner Data'!B50="","",LOWER('JobPlanner Data'!B50))</f>
        <v/>
      </c>
      <c r="C49">
        <f>IF('JobPlanner Data'!D50&lt;&gt;"","JobPlanner Data'!D50,IF('JobPlanner Data'!F50&lt;&gt;"","JobPlanner Data'!F50,""))</f>
        <v/>
      </c>
      <c r="D49">
        <f>IF('JobPlanner Data'!J50="","",LOWER('JobPlanner Data'!J50))</f>
        <v/>
      </c>
      <c r="E49">
        <f>IF('JobPlanner Data'!C50="","",IFERROR(VLOOKUP('JobPlanner Data'!C50,'Company Lookup'!A:B,2,FALSE),"[NOT FOUND]"))</f>
        <v/>
      </c>
      <c r="F49" s="5">
        <f>IF('JobPlanner Data'!G50="","",VALUE(SUBSTITUTE(SUBSTITUTE('JobPlanner Data'!G50,"$",""),",","")))</f>
        <v/>
      </c>
      <c r="G49">
        <f>"amount"</f>
        <v/>
      </c>
      <c r="H49">
        <f>IF('JobPlanner Data'!L50="","","JobPlanner Data'!L50)</f>
        <v/>
      </c>
      <c r="I49">
        <f>IF('JobPlanner Data'!H50="","","JobPlanner Data'!H50)</f>
        <v/>
      </c>
      <c r="J49">
        <f>IF('JobPlanner Data'!N50="","",IF(ISNUMBER('JobPlanner Data'!N50),TEXT('JobPlanner Data'!N50,"YYYY-MM-DD"),""))</f>
        <v/>
      </c>
      <c r="K49">
        <f>IF('JobPlanner Data'!Q50="","",IF(ISNUMBER('JobPlanner Data'!Q50),TEXT('JobPlanner Data'!Q50,"YYYY-MM-DD"),""))</f>
        <v/>
      </c>
      <c r="L49">
        <f>IF('JobPlanner Data'!I50&lt;&gt;"",IF(ISNUMBER('JobPlanner Data'!I50),TEXT('JobPlanner Data'!I50,"YYYY-MM-DD"),""),IF('JobPlanner Data'!T50&lt;&gt;"",IF(ISNUMBER('JobPlanner Data'!T50),TEXT('JobPlanner Data'!T50,"YYYY-MM-DD"),""),""))</f>
        <v/>
      </c>
      <c r="M49">
        <f>IF('JobPlanner Data'!S50="","",IF(ISNUMBER('JobPlanner Data'!S50),TEXT('JobPlanner Data'!S50,"YYYY-MM-DD"),""))</f>
        <v/>
      </c>
      <c r="N49">
        <f>IF('JobPlanner Data'!R50="","",IF(ISNUMBER('JobPlanner Data'!R50),TEXT('JobPlanner Data'!R50,"YYYY-MM-DD"),""))</f>
        <v/>
      </c>
      <c r="O49">
        <f>IF('JobPlanner Data'!U50="","",IF(ISNUMBER('JobPlanner Data'!U50),TEXT('JobPlanner Data'!U50,"YYYY-MM-DD"),""))</f>
        <v/>
      </c>
      <c r="P49">
        <f>IF('JobPlanner Data'!O50="","","JobPlanner Data'!O50)</f>
        <v/>
      </c>
      <c r="Q49">
        <f>IF('JobPlanner Data'!P50="","","JobPlanner Data'!P50)</f>
        <v/>
      </c>
    </row>
    <row r="50">
      <c r="A50">
        <f>IF('JobPlanner Data'!A51="","",IF(ISBLANK('JobPlanner Data'!A51),"",'JobPlanner Data'!A51))</f>
        <v/>
      </c>
      <c r="B50">
        <f>IF('JobPlanner Data'!B51="","",LOWER('JobPlanner Data'!B51))</f>
        <v/>
      </c>
      <c r="C50">
        <f>IF('JobPlanner Data'!D51&lt;&gt;"","JobPlanner Data'!D51,IF('JobPlanner Data'!F51&lt;&gt;"","JobPlanner Data'!F51,""))</f>
        <v/>
      </c>
      <c r="D50">
        <f>IF('JobPlanner Data'!J51="","",LOWER('JobPlanner Data'!J51))</f>
        <v/>
      </c>
      <c r="E50">
        <f>IF('JobPlanner Data'!C51="","",IFERROR(VLOOKUP('JobPlanner Data'!C51,'Company Lookup'!A:B,2,FALSE),"[NOT FOUND]"))</f>
        <v/>
      </c>
      <c r="F50" s="5">
        <f>IF('JobPlanner Data'!G51="","",VALUE(SUBSTITUTE(SUBSTITUTE('JobPlanner Data'!G51,"$",""),",","")))</f>
        <v/>
      </c>
      <c r="G50">
        <f>"amount"</f>
        <v/>
      </c>
      <c r="H50">
        <f>IF('JobPlanner Data'!L51="","","JobPlanner Data'!L51)</f>
        <v/>
      </c>
      <c r="I50">
        <f>IF('JobPlanner Data'!H51="","","JobPlanner Data'!H51)</f>
        <v/>
      </c>
      <c r="J50">
        <f>IF('JobPlanner Data'!N51="","",IF(ISNUMBER('JobPlanner Data'!N51),TEXT('JobPlanner Data'!N51,"YYYY-MM-DD"),""))</f>
        <v/>
      </c>
      <c r="K50">
        <f>IF('JobPlanner Data'!Q51="","",IF(ISNUMBER('JobPlanner Data'!Q51),TEXT('JobPlanner Data'!Q51,"YYYY-MM-DD"),""))</f>
        <v/>
      </c>
      <c r="L50">
        <f>IF('JobPlanner Data'!I51&lt;&gt;"",IF(ISNUMBER('JobPlanner Data'!I51),TEXT('JobPlanner Data'!I51,"YYYY-MM-DD"),""),IF('JobPlanner Data'!T51&lt;&gt;"",IF(ISNUMBER('JobPlanner Data'!T51),TEXT('JobPlanner Data'!T51,"YYYY-MM-DD"),""),""))</f>
        <v/>
      </c>
      <c r="M50">
        <f>IF('JobPlanner Data'!S51="","",IF(ISNUMBER('JobPlanner Data'!S51),TEXT('JobPlanner Data'!S51,"YYYY-MM-DD"),""))</f>
        <v/>
      </c>
      <c r="N50">
        <f>IF('JobPlanner Data'!R51="","",IF(ISNUMBER('JobPlanner Data'!R51),TEXT('JobPlanner Data'!R51,"YYYY-MM-DD"),""))</f>
        <v/>
      </c>
      <c r="O50">
        <f>IF('JobPlanner Data'!U51="","",IF(ISNUMBER('JobPlanner Data'!U51),TEXT('JobPlanner Data'!U51,"YYYY-MM-DD"),""))</f>
        <v/>
      </c>
      <c r="P50">
        <f>IF('JobPlanner Data'!O51="","","JobPlanner Data'!O51)</f>
        <v/>
      </c>
      <c r="Q50">
        <f>IF('JobPlanner Data'!P51="","","JobPlanner Data'!P51)</f>
        <v/>
      </c>
    </row>
    <row r="51">
      <c r="A51">
        <f>IF('JobPlanner Data'!A52="","",IF(ISBLANK('JobPlanner Data'!A52),"",'JobPlanner Data'!A52))</f>
        <v/>
      </c>
      <c r="B51">
        <f>IF('JobPlanner Data'!B52="","",LOWER('JobPlanner Data'!B52))</f>
        <v/>
      </c>
      <c r="C51">
        <f>IF('JobPlanner Data'!D52&lt;&gt;"","JobPlanner Data'!D52,IF('JobPlanner Data'!F52&lt;&gt;"","JobPlanner Data'!F52,""))</f>
        <v/>
      </c>
      <c r="D51">
        <f>IF('JobPlanner Data'!J52="","",LOWER('JobPlanner Data'!J52))</f>
        <v/>
      </c>
      <c r="E51">
        <f>IF('JobPlanner Data'!C52="","",IFERROR(VLOOKUP('JobPlanner Data'!C52,'Company Lookup'!A:B,2,FALSE),"[NOT FOUND]"))</f>
        <v/>
      </c>
      <c r="F51" s="5">
        <f>IF('JobPlanner Data'!G52="","",VALUE(SUBSTITUTE(SUBSTITUTE('JobPlanner Data'!G52,"$",""),",","")))</f>
        <v/>
      </c>
      <c r="G51">
        <f>"amount"</f>
        <v/>
      </c>
      <c r="H51">
        <f>IF('JobPlanner Data'!L52="","","JobPlanner Data'!L52)</f>
        <v/>
      </c>
      <c r="I51">
        <f>IF('JobPlanner Data'!H52="","","JobPlanner Data'!H52)</f>
        <v/>
      </c>
      <c r="J51">
        <f>IF('JobPlanner Data'!N52="","",IF(ISNUMBER('JobPlanner Data'!N52),TEXT('JobPlanner Data'!N52,"YYYY-MM-DD"),""))</f>
        <v/>
      </c>
      <c r="K51">
        <f>IF('JobPlanner Data'!Q52="","",IF(ISNUMBER('JobPlanner Data'!Q52),TEXT('JobPlanner Data'!Q52,"YYYY-MM-DD"),""))</f>
        <v/>
      </c>
      <c r="L51">
        <f>IF('JobPlanner Data'!I52&lt;&gt;"",IF(ISNUMBER('JobPlanner Data'!I52),TEXT('JobPlanner Data'!I52,"YYYY-MM-DD"),""),IF('JobPlanner Data'!T52&lt;&gt;"",IF(ISNUMBER('JobPlanner Data'!T52),TEXT('JobPlanner Data'!T52,"YYYY-MM-DD"),""),""))</f>
        <v/>
      </c>
      <c r="M51">
        <f>IF('JobPlanner Data'!S52="","",IF(ISNUMBER('JobPlanner Data'!S52),TEXT('JobPlanner Data'!S52,"YYYY-MM-DD"),""))</f>
        <v/>
      </c>
      <c r="N51">
        <f>IF('JobPlanner Data'!R52="","",IF(ISNUMBER('JobPlanner Data'!R52),TEXT('JobPlanner Data'!R52,"YYYY-MM-DD"),""))</f>
        <v/>
      </c>
      <c r="O51">
        <f>IF('JobPlanner Data'!U52="","",IF(ISNUMBER('JobPlanner Data'!U52),TEXT('JobPlanner Data'!U52,"YYYY-MM-DD"),""))</f>
        <v/>
      </c>
      <c r="P51">
        <f>IF('JobPlanner Data'!O52="","","JobPlanner Data'!O52)</f>
        <v/>
      </c>
      <c r="Q51">
        <f>IF('JobPlanner Data'!P52="","","JobPlanner Data'!P52)</f>
        <v/>
      </c>
    </row>
    <row r="52">
      <c r="A52">
        <f>IF('JobPlanner Data'!A53="","",IF(ISBLANK('JobPlanner Data'!A53),"",'JobPlanner Data'!A53))</f>
        <v/>
      </c>
      <c r="B52">
        <f>IF('JobPlanner Data'!B53="","",LOWER('JobPlanner Data'!B53))</f>
        <v/>
      </c>
      <c r="C52">
        <f>IF('JobPlanner Data'!D53&lt;&gt;"","JobPlanner Data'!D53,IF('JobPlanner Data'!F53&lt;&gt;"","JobPlanner Data'!F53,""))</f>
        <v/>
      </c>
      <c r="D52">
        <f>IF('JobPlanner Data'!J53="","",LOWER('JobPlanner Data'!J53))</f>
        <v/>
      </c>
      <c r="E52">
        <f>IF('JobPlanner Data'!C53="","",IFERROR(VLOOKUP('JobPlanner Data'!C53,'Company Lookup'!A:B,2,FALSE),"[NOT FOUND]"))</f>
        <v/>
      </c>
      <c r="F52" s="5">
        <f>IF('JobPlanner Data'!G53="","",VALUE(SUBSTITUTE(SUBSTITUTE('JobPlanner Data'!G53,"$",""),",","")))</f>
        <v/>
      </c>
      <c r="G52">
        <f>"amount"</f>
        <v/>
      </c>
      <c r="H52">
        <f>IF('JobPlanner Data'!L53="","","JobPlanner Data'!L53)</f>
        <v/>
      </c>
      <c r="I52">
        <f>IF('JobPlanner Data'!H53="","","JobPlanner Data'!H53)</f>
        <v/>
      </c>
      <c r="J52">
        <f>IF('JobPlanner Data'!N53="","",IF(ISNUMBER('JobPlanner Data'!N53),TEXT('JobPlanner Data'!N53,"YYYY-MM-DD"),""))</f>
        <v/>
      </c>
      <c r="K52">
        <f>IF('JobPlanner Data'!Q53="","",IF(ISNUMBER('JobPlanner Data'!Q53),TEXT('JobPlanner Data'!Q53,"YYYY-MM-DD"),""))</f>
        <v/>
      </c>
      <c r="L52">
        <f>IF('JobPlanner Data'!I53&lt;&gt;"",IF(ISNUMBER('JobPlanner Data'!I53),TEXT('JobPlanner Data'!I53,"YYYY-MM-DD"),""),IF('JobPlanner Data'!T53&lt;&gt;"",IF(ISNUMBER('JobPlanner Data'!T53),TEXT('JobPlanner Data'!T53,"YYYY-MM-DD"),""),""))</f>
        <v/>
      </c>
      <c r="M52">
        <f>IF('JobPlanner Data'!S53="","",IF(ISNUMBER('JobPlanner Data'!S53),TEXT('JobPlanner Data'!S53,"YYYY-MM-DD"),""))</f>
        <v/>
      </c>
      <c r="N52">
        <f>IF('JobPlanner Data'!R53="","",IF(ISNUMBER('JobPlanner Data'!R53),TEXT('JobPlanner Data'!R53,"YYYY-MM-DD"),""))</f>
        <v/>
      </c>
      <c r="O52">
        <f>IF('JobPlanner Data'!U53="","",IF(ISNUMBER('JobPlanner Data'!U53),TEXT('JobPlanner Data'!U53,"YYYY-MM-DD"),""))</f>
        <v/>
      </c>
      <c r="P52">
        <f>IF('JobPlanner Data'!O53="","","JobPlanner Data'!O53)</f>
        <v/>
      </c>
      <c r="Q52">
        <f>IF('JobPlanner Data'!P53="","","JobPlanner Data'!P53)</f>
        <v/>
      </c>
    </row>
    <row r="53">
      <c r="A53">
        <f>IF('JobPlanner Data'!A54="","",IF(ISBLANK('JobPlanner Data'!A54),"",'JobPlanner Data'!A54))</f>
        <v/>
      </c>
      <c r="B53">
        <f>IF('JobPlanner Data'!B54="","",LOWER('JobPlanner Data'!B54))</f>
        <v/>
      </c>
      <c r="C53">
        <f>IF('JobPlanner Data'!D54&lt;&gt;"","JobPlanner Data'!D54,IF('JobPlanner Data'!F54&lt;&gt;"","JobPlanner Data'!F54,""))</f>
        <v/>
      </c>
      <c r="D53">
        <f>IF('JobPlanner Data'!J54="","",LOWER('JobPlanner Data'!J54))</f>
        <v/>
      </c>
      <c r="E53">
        <f>IF('JobPlanner Data'!C54="","",IFERROR(VLOOKUP('JobPlanner Data'!C54,'Company Lookup'!A:B,2,FALSE),"[NOT FOUND]"))</f>
        <v/>
      </c>
      <c r="F53" s="5">
        <f>IF('JobPlanner Data'!G54="","",VALUE(SUBSTITUTE(SUBSTITUTE('JobPlanner Data'!G54,"$",""),",","")))</f>
        <v/>
      </c>
      <c r="G53">
        <f>"amount"</f>
        <v/>
      </c>
      <c r="H53">
        <f>IF('JobPlanner Data'!L54="","","JobPlanner Data'!L54)</f>
        <v/>
      </c>
      <c r="I53">
        <f>IF('JobPlanner Data'!H54="","","JobPlanner Data'!H54)</f>
        <v/>
      </c>
      <c r="J53">
        <f>IF('JobPlanner Data'!N54="","",IF(ISNUMBER('JobPlanner Data'!N54),TEXT('JobPlanner Data'!N54,"YYYY-MM-DD"),""))</f>
        <v/>
      </c>
      <c r="K53">
        <f>IF('JobPlanner Data'!Q54="","",IF(ISNUMBER('JobPlanner Data'!Q54),TEXT('JobPlanner Data'!Q54,"YYYY-MM-DD"),""))</f>
        <v/>
      </c>
      <c r="L53">
        <f>IF('JobPlanner Data'!I54&lt;&gt;"",IF(ISNUMBER('JobPlanner Data'!I54),TEXT('JobPlanner Data'!I54,"YYYY-MM-DD"),""),IF('JobPlanner Data'!T54&lt;&gt;"",IF(ISNUMBER('JobPlanner Data'!T54),TEXT('JobPlanner Data'!T54,"YYYY-MM-DD"),""),""))</f>
        <v/>
      </c>
      <c r="M53">
        <f>IF('JobPlanner Data'!S54="","",IF(ISNUMBER('JobPlanner Data'!S54),TEXT('JobPlanner Data'!S54,"YYYY-MM-DD"),""))</f>
        <v/>
      </c>
      <c r="N53">
        <f>IF('JobPlanner Data'!R54="","",IF(ISNUMBER('JobPlanner Data'!R54),TEXT('JobPlanner Data'!R54,"YYYY-MM-DD"),""))</f>
        <v/>
      </c>
      <c r="O53">
        <f>IF('JobPlanner Data'!U54="","",IF(ISNUMBER('JobPlanner Data'!U54),TEXT('JobPlanner Data'!U54,"YYYY-MM-DD"),""))</f>
        <v/>
      </c>
      <c r="P53">
        <f>IF('JobPlanner Data'!O54="","","JobPlanner Data'!O54)</f>
        <v/>
      </c>
      <c r="Q53">
        <f>IF('JobPlanner Data'!P54="","","JobPlanner Data'!P54)</f>
        <v/>
      </c>
    </row>
    <row r="54">
      <c r="A54">
        <f>IF('JobPlanner Data'!A55="","",IF(ISBLANK('JobPlanner Data'!A55),"",'JobPlanner Data'!A55))</f>
        <v/>
      </c>
      <c r="B54">
        <f>IF('JobPlanner Data'!B55="","",LOWER('JobPlanner Data'!B55))</f>
        <v/>
      </c>
      <c r="C54">
        <f>IF('JobPlanner Data'!D55&lt;&gt;"","JobPlanner Data'!D55,IF('JobPlanner Data'!F55&lt;&gt;"","JobPlanner Data'!F55,""))</f>
        <v/>
      </c>
      <c r="D54">
        <f>IF('JobPlanner Data'!J55="","",LOWER('JobPlanner Data'!J55))</f>
        <v/>
      </c>
      <c r="E54">
        <f>IF('JobPlanner Data'!C55="","",IFERROR(VLOOKUP('JobPlanner Data'!C55,'Company Lookup'!A:B,2,FALSE),"[NOT FOUND]"))</f>
        <v/>
      </c>
      <c r="F54" s="5">
        <f>IF('JobPlanner Data'!G55="","",VALUE(SUBSTITUTE(SUBSTITUTE('JobPlanner Data'!G55,"$",""),",","")))</f>
        <v/>
      </c>
      <c r="G54">
        <f>"amount"</f>
        <v/>
      </c>
      <c r="H54">
        <f>IF('JobPlanner Data'!L55="","","JobPlanner Data'!L55)</f>
        <v/>
      </c>
      <c r="I54">
        <f>IF('JobPlanner Data'!H55="","","JobPlanner Data'!H55)</f>
        <v/>
      </c>
      <c r="J54">
        <f>IF('JobPlanner Data'!N55="","",IF(ISNUMBER('JobPlanner Data'!N55),TEXT('JobPlanner Data'!N55,"YYYY-MM-DD"),""))</f>
        <v/>
      </c>
      <c r="K54">
        <f>IF('JobPlanner Data'!Q55="","",IF(ISNUMBER('JobPlanner Data'!Q55),TEXT('JobPlanner Data'!Q55,"YYYY-MM-DD"),""))</f>
        <v/>
      </c>
      <c r="L54">
        <f>IF('JobPlanner Data'!I55&lt;&gt;"",IF(ISNUMBER('JobPlanner Data'!I55),TEXT('JobPlanner Data'!I55,"YYYY-MM-DD"),""),IF('JobPlanner Data'!T55&lt;&gt;"",IF(ISNUMBER('JobPlanner Data'!T55),TEXT('JobPlanner Data'!T55,"YYYY-MM-DD"),""),""))</f>
        <v/>
      </c>
      <c r="M54">
        <f>IF('JobPlanner Data'!S55="","",IF(ISNUMBER('JobPlanner Data'!S55),TEXT('JobPlanner Data'!S55,"YYYY-MM-DD"),""))</f>
        <v/>
      </c>
      <c r="N54">
        <f>IF('JobPlanner Data'!R55="","",IF(ISNUMBER('JobPlanner Data'!R55),TEXT('JobPlanner Data'!R55,"YYYY-MM-DD"),""))</f>
        <v/>
      </c>
      <c r="O54">
        <f>IF('JobPlanner Data'!U55="","",IF(ISNUMBER('JobPlanner Data'!U55),TEXT('JobPlanner Data'!U55,"YYYY-MM-DD"),""))</f>
        <v/>
      </c>
      <c r="P54">
        <f>IF('JobPlanner Data'!O55="","","JobPlanner Data'!O55)</f>
        <v/>
      </c>
      <c r="Q54">
        <f>IF('JobPlanner Data'!P55="","","JobPlanner Data'!P55)</f>
        <v/>
      </c>
    </row>
    <row r="55">
      <c r="A55">
        <f>IF('JobPlanner Data'!A56="","",IF(ISBLANK('JobPlanner Data'!A56),"",'JobPlanner Data'!A56))</f>
        <v/>
      </c>
      <c r="B55">
        <f>IF('JobPlanner Data'!B56="","",LOWER('JobPlanner Data'!B56))</f>
        <v/>
      </c>
      <c r="C55">
        <f>IF('JobPlanner Data'!D56&lt;&gt;"","JobPlanner Data'!D56,IF('JobPlanner Data'!F56&lt;&gt;"","JobPlanner Data'!F56,""))</f>
        <v/>
      </c>
      <c r="D55">
        <f>IF('JobPlanner Data'!J56="","",LOWER('JobPlanner Data'!J56))</f>
        <v/>
      </c>
      <c r="E55">
        <f>IF('JobPlanner Data'!C56="","",IFERROR(VLOOKUP('JobPlanner Data'!C56,'Company Lookup'!A:B,2,FALSE),"[NOT FOUND]"))</f>
        <v/>
      </c>
      <c r="F55" s="5">
        <f>IF('JobPlanner Data'!G56="","",VALUE(SUBSTITUTE(SUBSTITUTE('JobPlanner Data'!G56,"$",""),",","")))</f>
        <v/>
      </c>
      <c r="G55">
        <f>"amount"</f>
        <v/>
      </c>
      <c r="H55">
        <f>IF('JobPlanner Data'!L56="","","JobPlanner Data'!L56)</f>
        <v/>
      </c>
      <c r="I55">
        <f>IF('JobPlanner Data'!H56="","","JobPlanner Data'!H56)</f>
        <v/>
      </c>
      <c r="J55">
        <f>IF('JobPlanner Data'!N56="","",IF(ISNUMBER('JobPlanner Data'!N56),TEXT('JobPlanner Data'!N56,"YYYY-MM-DD"),""))</f>
        <v/>
      </c>
      <c r="K55">
        <f>IF('JobPlanner Data'!Q56="","",IF(ISNUMBER('JobPlanner Data'!Q56),TEXT('JobPlanner Data'!Q56,"YYYY-MM-DD"),""))</f>
        <v/>
      </c>
      <c r="L55">
        <f>IF('JobPlanner Data'!I56&lt;&gt;"",IF(ISNUMBER('JobPlanner Data'!I56),TEXT('JobPlanner Data'!I56,"YYYY-MM-DD"),""),IF('JobPlanner Data'!T56&lt;&gt;"",IF(ISNUMBER('JobPlanner Data'!T56),TEXT('JobPlanner Data'!T56,"YYYY-MM-DD"),""),""))</f>
        <v/>
      </c>
      <c r="M55">
        <f>IF('JobPlanner Data'!S56="","",IF(ISNUMBER('JobPlanner Data'!S56),TEXT('JobPlanner Data'!S56,"YYYY-MM-DD"),""))</f>
        <v/>
      </c>
      <c r="N55">
        <f>IF('JobPlanner Data'!R56="","",IF(ISNUMBER('JobPlanner Data'!R56),TEXT('JobPlanner Data'!R56,"YYYY-MM-DD"),""))</f>
        <v/>
      </c>
      <c r="O55">
        <f>IF('JobPlanner Data'!U56="","",IF(ISNUMBER('JobPlanner Data'!U56),TEXT('JobPlanner Data'!U56,"YYYY-MM-DD"),""))</f>
        <v/>
      </c>
      <c r="P55">
        <f>IF('JobPlanner Data'!O56="","","JobPlanner Data'!O56)</f>
        <v/>
      </c>
      <c r="Q55">
        <f>IF('JobPlanner Data'!P56="","","JobPlanner Data'!P56)</f>
        <v/>
      </c>
    </row>
    <row r="56">
      <c r="A56">
        <f>IF('JobPlanner Data'!A57="","",IF(ISBLANK('JobPlanner Data'!A57),"",'JobPlanner Data'!A57))</f>
        <v/>
      </c>
      <c r="B56">
        <f>IF('JobPlanner Data'!B57="","",LOWER('JobPlanner Data'!B57))</f>
        <v/>
      </c>
      <c r="C56">
        <f>IF('JobPlanner Data'!D57&lt;&gt;"","JobPlanner Data'!D57,IF('JobPlanner Data'!F57&lt;&gt;"","JobPlanner Data'!F57,""))</f>
        <v/>
      </c>
      <c r="D56">
        <f>IF('JobPlanner Data'!J57="","",LOWER('JobPlanner Data'!J57))</f>
        <v/>
      </c>
      <c r="E56">
        <f>IF('JobPlanner Data'!C57="","",IFERROR(VLOOKUP('JobPlanner Data'!C57,'Company Lookup'!A:B,2,FALSE),"[NOT FOUND]"))</f>
        <v/>
      </c>
      <c r="F56" s="5">
        <f>IF('JobPlanner Data'!G57="","",VALUE(SUBSTITUTE(SUBSTITUTE('JobPlanner Data'!G57,"$",""),",","")))</f>
        <v/>
      </c>
      <c r="G56">
        <f>"amount"</f>
        <v/>
      </c>
      <c r="H56">
        <f>IF('JobPlanner Data'!L57="","","JobPlanner Data'!L57)</f>
        <v/>
      </c>
      <c r="I56">
        <f>IF('JobPlanner Data'!H57="","","JobPlanner Data'!H57)</f>
        <v/>
      </c>
      <c r="J56">
        <f>IF('JobPlanner Data'!N57="","",IF(ISNUMBER('JobPlanner Data'!N57),TEXT('JobPlanner Data'!N57,"YYYY-MM-DD"),""))</f>
        <v/>
      </c>
      <c r="K56">
        <f>IF('JobPlanner Data'!Q57="","",IF(ISNUMBER('JobPlanner Data'!Q57),TEXT('JobPlanner Data'!Q57,"YYYY-MM-DD"),""))</f>
        <v/>
      </c>
      <c r="L56">
        <f>IF('JobPlanner Data'!I57&lt;&gt;"",IF(ISNUMBER('JobPlanner Data'!I57),TEXT('JobPlanner Data'!I57,"YYYY-MM-DD"),""),IF('JobPlanner Data'!T57&lt;&gt;"",IF(ISNUMBER('JobPlanner Data'!T57),TEXT('JobPlanner Data'!T57,"YYYY-MM-DD"),""),""))</f>
        <v/>
      </c>
      <c r="M56">
        <f>IF('JobPlanner Data'!S57="","",IF(ISNUMBER('JobPlanner Data'!S57),TEXT('JobPlanner Data'!S57,"YYYY-MM-DD"),""))</f>
        <v/>
      </c>
      <c r="N56">
        <f>IF('JobPlanner Data'!R57="","",IF(ISNUMBER('JobPlanner Data'!R57),TEXT('JobPlanner Data'!R57,"YYYY-MM-DD"),""))</f>
        <v/>
      </c>
      <c r="O56">
        <f>IF('JobPlanner Data'!U57="","",IF(ISNUMBER('JobPlanner Data'!U57),TEXT('JobPlanner Data'!U57,"YYYY-MM-DD"),""))</f>
        <v/>
      </c>
      <c r="P56">
        <f>IF('JobPlanner Data'!O57="","","JobPlanner Data'!O57)</f>
        <v/>
      </c>
      <c r="Q56">
        <f>IF('JobPlanner Data'!P57="","","JobPlanner Data'!P57)</f>
        <v/>
      </c>
    </row>
    <row r="57">
      <c r="A57">
        <f>IF('JobPlanner Data'!A58="","",IF(ISBLANK('JobPlanner Data'!A58),"",'JobPlanner Data'!A58))</f>
        <v/>
      </c>
      <c r="B57">
        <f>IF('JobPlanner Data'!B58="","",LOWER('JobPlanner Data'!B58))</f>
        <v/>
      </c>
      <c r="C57">
        <f>IF('JobPlanner Data'!D58&lt;&gt;"","JobPlanner Data'!D58,IF('JobPlanner Data'!F58&lt;&gt;"","JobPlanner Data'!F58,""))</f>
        <v/>
      </c>
      <c r="D57">
        <f>IF('JobPlanner Data'!J58="","",LOWER('JobPlanner Data'!J58))</f>
        <v/>
      </c>
      <c r="E57">
        <f>IF('JobPlanner Data'!C58="","",IFERROR(VLOOKUP('JobPlanner Data'!C58,'Company Lookup'!A:B,2,FALSE),"[NOT FOUND]"))</f>
        <v/>
      </c>
      <c r="F57" s="5">
        <f>IF('JobPlanner Data'!G58="","",VALUE(SUBSTITUTE(SUBSTITUTE('JobPlanner Data'!G58,"$",""),",","")))</f>
        <v/>
      </c>
      <c r="G57">
        <f>"amount"</f>
        <v/>
      </c>
      <c r="H57">
        <f>IF('JobPlanner Data'!L58="","","JobPlanner Data'!L58)</f>
        <v/>
      </c>
      <c r="I57">
        <f>IF('JobPlanner Data'!H58="","","JobPlanner Data'!H58)</f>
        <v/>
      </c>
      <c r="J57">
        <f>IF('JobPlanner Data'!N58="","",IF(ISNUMBER('JobPlanner Data'!N58),TEXT('JobPlanner Data'!N58,"YYYY-MM-DD"),""))</f>
        <v/>
      </c>
      <c r="K57">
        <f>IF('JobPlanner Data'!Q58="","",IF(ISNUMBER('JobPlanner Data'!Q58),TEXT('JobPlanner Data'!Q58,"YYYY-MM-DD"),""))</f>
        <v/>
      </c>
      <c r="L57">
        <f>IF('JobPlanner Data'!I58&lt;&gt;"",IF(ISNUMBER('JobPlanner Data'!I58),TEXT('JobPlanner Data'!I58,"YYYY-MM-DD"),""),IF('JobPlanner Data'!T58&lt;&gt;"",IF(ISNUMBER('JobPlanner Data'!T58),TEXT('JobPlanner Data'!T58,"YYYY-MM-DD"),""),""))</f>
        <v/>
      </c>
      <c r="M57">
        <f>IF('JobPlanner Data'!S58="","",IF(ISNUMBER('JobPlanner Data'!S58),TEXT('JobPlanner Data'!S58,"YYYY-MM-DD"),""))</f>
        <v/>
      </c>
      <c r="N57">
        <f>IF('JobPlanner Data'!R58="","",IF(ISNUMBER('JobPlanner Data'!R58),TEXT('JobPlanner Data'!R58,"YYYY-MM-DD"),""))</f>
        <v/>
      </c>
      <c r="O57">
        <f>IF('JobPlanner Data'!U58="","",IF(ISNUMBER('JobPlanner Data'!U58),TEXT('JobPlanner Data'!U58,"YYYY-MM-DD"),""))</f>
        <v/>
      </c>
      <c r="P57">
        <f>IF('JobPlanner Data'!O58="","","JobPlanner Data'!O58)</f>
        <v/>
      </c>
      <c r="Q57">
        <f>IF('JobPlanner Data'!P58="","","JobPlanner Data'!P58)</f>
        <v/>
      </c>
    </row>
    <row r="58">
      <c r="A58">
        <f>IF('JobPlanner Data'!A59="","",IF(ISBLANK('JobPlanner Data'!A59),"",'JobPlanner Data'!A59))</f>
        <v/>
      </c>
      <c r="B58">
        <f>IF('JobPlanner Data'!B59="","",LOWER('JobPlanner Data'!B59))</f>
        <v/>
      </c>
      <c r="C58">
        <f>IF('JobPlanner Data'!D59&lt;&gt;"","JobPlanner Data'!D59,IF('JobPlanner Data'!F59&lt;&gt;"","JobPlanner Data'!F59,""))</f>
        <v/>
      </c>
      <c r="D58">
        <f>IF('JobPlanner Data'!J59="","",LOWER('JobPlanner Data'!J59))</f>
        <v/>
      </c>
      <c r="E58">
        <f>IF('JobPlanner Data'!C59="","",IFERROR(VLOOKUP('JobPlanner Data'!C59,'Company Lookup'!A:B,2,FALSE),"[NOT FOUND]"))</f>
        <v/>
      </c>
      <c r="F58" s="5">
        <f>IF('JobPlanner Data'!G59="","",VALUE(SUBSTITUTE(SUBSTITUTE('JobPlanner Data'!G59,"$",""),",","")))</f>
        <v/>
      </c>
      <c r="G58">
        <f>"amount"</f>
        <v/>
      </c>
      <c r="H58">
        <f>IF('JobPlanner Data'!L59="","","JobPlanner Data'!L59)</f>
        <v/>
      </c>
      <c r="I58">
        <f>IF('JobPlanner Data'!H59="","","JobPlanner Data'!H59)</f>
        <v/>
      </c>
      <c r="J58">
        <f>IF('JobPlanner Data'!N59="","",IF(ISNUMBER('JobPlanner Data'!N59),TEXT('JobPlanner Data'!N59,"YYYY-MM-DD"),""))</f>
        <v/>
      </c>
      <c r="K58">
        <f>IF('JobPlanner Data'!Q59="","",IF(ISNUMBER('JobPlanner Data'!Q59),TEXT('JobPlanner Data'!Q59,"YYYY-MM-DD"),""))</f>
        <v/>
      </c>
      <c r="L58">
        <f>IF('JobPlanner Data'!I59&lt;&gt;"",IF(ISNUMBER('JobPlanner Data'!I59),TEXT('JobPlanner Data'!I59,"YYYY-MM-DD"),""),IF('JobPlanner Data'!T59&lt;&gt;"",IF(ISNUMBER('JobPlanner Data'!T59),TEXT('JobPlanner Data'!T59,"YYYY-MM-DD"),""),""))</f>
        <v/>
      </c>
      <c r="M58">
        <f>IF('JobPlanner Data'!S59="","",IF(ISNUMBER('JobPlanner Data'!S59),TEXT('JobPlanner Data'!S59,"YYYY-MM-DD"),""))</f>
        <v/>
      </c>
      <c r="N58">
        <f>IF('JobPlanner Data'!R59="","",IF(ISNUMBER('JobPlanner Data'!R59),TEXT('JobPlanner Data'!R59,"YYYY-MM-DD"),""))</f>
        <v/>
      </c>
      <c r="O58">
        <f>IF('JobPlanner Data'!U59="","",IF(ISNUMBER('JobPlanner Data'!U59),TEXT('JobPlanner Data'!U59,"YYYY-MM-DD"),""))</f>
        <v/>
      </c>
      <c r="P58">
        <f>IF('JobPlanner Data'!O59="","","JobPlanner Data'!O59)</f>
        <v/>
      </c>
      <c r="Q58">
        <f>IF('JobPlanner Data'!P59="","","JobPlanner Data'!P59)</f>
        <v/>
      </c>
    </row>
    <row r="59">
      <c r="A59">
        <f>IF('JobPlanner Data'!A60="","",IF(ISBLANK('JobPlanner Data'!A60),"",'JobPlanner Data'!A60))</f>
        <v/>
      </c>
      <c r="B59">
        <f>IF('JobPlanner Data'!B60="","",LOWER('JobPlanner Data'!B60))</f>
        <v/>
      </c>
      <c r="C59">
        <f>IF('JobPlanner Data'!D60&lt;&gt;"","JobPlanner Data'!D60,IF('JobPlanner Data'!F60&lt;&gt;"","JobPlanner Data'!F60,""))</f>
        <v/>
      </c>
      <c r="D59">
        <f>IF('JobPlanner Data'!J60="","",LOWER('JobPlanner Data'!J60))</f>
        <v/>
      </c>
      <c r="E59">
        <f>IF('JobPlanner Data'!C60="","",IFERROR(VLOOKUP('JobPlanner Data'!C60,'Company Lookup'!A:B,2,FALSE),"[NOT FOUND]"))</f>
        <v/>
      </c>
      <c r="F59" s="5">
        <f>IF('JobPlanner Data'!G60="","",VALUE(SUBSTITUTE(SUBSTITUTE('JobPlanner Data'!G60,"$",""),",","")))</f>
        <v/>
      </c>
      <c r="G59">
        <f>"amount"</f>
        <v/>
      </c>
      <c r="H59">
        <f>IF('JobPlanner Data'!L60="","","JobPlanner Data'!L60)</f>
        <v/>
      </c>
      <c r="I59">
        <f>IF('JobPlanner Data'!H60="","","JobPlanner Data'!H60)</f>
        <v/>
      </c>
      <c r="J59">
        <f>IF('JobPlanner Data'!N60="","",IF(ISNUMBER('JobPlanner Data'!N60),TEXT('JobPlanner Data'!N60,"YYYY-MM-DD"),""))</f>
        <v/>
      </c>
      <c r="K59">
        <f>IF('JobPlanner Data'!Q60="","",IF(ISNUMBER('JobPlanner Data'!Q60),TEXT('JobPlanner Data'!Q60,"YYYY-MM-DD"),""))</f>
        <v/>
      </c>
      <c r="L59">
        <f>IF('JobPlanner Data'!I60&lt;&gt;"",IF(ISNUMBER('JobPlanner Data'!I60),TEXT('JobPlanner Data'!I60,"YYYY-MM-DD"),""),IF('JobPlanner Data'!T60&lt;&gt;"",IF(ISNUMBER('JobPlanner Data'!T60),TEXT('JobPlanner Data'!T60,"YYYY-MM-DD"),""),""))</f>
        <v/>
      </c>
      <c r="M59">
        <f>IF('JobPlanner Data'!S60="","",IF(ISNUMBER('JobPlanner Data'!S60),TEXT('JobPlanner Data'!S60,"YYYY-MM-DD"),""))</f>
        <v/>
      </c>
      <c r="N59">
        <f>IF('JobPlanner Data'!R60="","",IF(ISNUMBER('JobPlanner Data'!R60),TEXT('JobPlanner Data'!R60,"YYYY-MM-DD"),""))</f>
        <v/>
      </c>
      <c r="O59">
        <f>IF('JobPlanner Data'!U60="","",IF(ISNUMBER('JobPlanner Data'!U60),TEXT('JobPlanner Data'!U60,"YYYY-MM-DD"),""))</f>
        <v/>
      </c>
      <c r="P59">
        <f>IF('JobPlanner Data'!O60="","","JobPlanner Data'!O60)</f>
        <v/>
      </c>
      <c r="Q59">
        <f>IF('JobPlanner Data'!P60="","","JobPlanner Data'!P60)</f>
        <v/>
      </c>
    </row>
    <row r="60">
      <c r="A60">
        <f>IF('JobPlanner Data'!A61="","",IF(ISBLANK('JobPlanner Data'!A61),"",'JobPlanner Data'!A61))</f>
        <v/>
      </c>
      <c r="B60">
        <f>IF('JobPlanner Data'!B61="","",LOWER('JobPlanner Data'!B61))</f>
        <v/>
      </c>
      <c r="C60">
        <f>IF('JobPlanner Data'!D61&lt;&gt;"","JobPlanner Data'!D61,IF('JobPlanner Data'!F61&lt;&gt;"","JobPlanner Data'!F61,""))</f>
        <v/>
      </c>
      <c r="D60">
        <f>IF('JobPlanner Data'!J61="","",LOWER('JobPlanner Data'!J61))</f>
        <v/>
      </c>
      <c r="E60">
        <f>IF('JobPlanner Data'!C61="","",IFERROR(VLOOKUP('JobPlanner Data'!C61,'Company Lookup'!A:B,2,FALSE),"[NOT FOUND]"))</f>
        <v/>
      </c>
      <c r="F60" s="5">
        <f>IF('JobPlanner Data'!G61="","",VALUE(SUBSTITUTE(SUBSTITUTE('JobPlanner Data'!G61,"$",""),",","")))</f>
        <v/>
      </c>
      <c r="G60">
        <f>"amount"</f>
        <v/>
      </c>
      <c r="H60">
        <f>IF('JobPlanner Data'!L61="","","JobPlanner Data'!L61)</f>
        <v/>
      </c>
      <c r="I60">
        <f>IF('JobPlanner Data'!H61="","","JobPlanner Data'!H61)</f>
        <v/>
      </c>
      <c r="J60">
        <f>IF('JobPlanner Data'!N61="","",IF(ISNUMBER('JobPlanner Data'!N61),TEXT('JobPlanner Data'!N61,"YYYY-MM-DD"),""))</f>
        <v/>
      </c>
      <c r="K60">
        <f>IF('JobPlanner Data'!Q61="","",IF(ISNUMBER('JobPlanner Data'!Q61),TEXT('JobPlanner Data'!Q61,"YYYY-MM-DD"),""))</f>
        <v/>
      </c>
      <c r="L60">
        <f>IF('JobPlanner Data'!I61&lt;&gt;"",IF(ISNUMBER('JobPlanner Data'!I61),TEXT('JobPlanner Data'!I61,"YYYY-MM-DD"),""),IF('JobPlanner Data'!T61&lt;&gt;"",IF(ISNUMBER('JobPlanner Data'!T61),TEXT('JobPlanner Data'!T61,"YYYY-MM-DD"),""),""))</f>
        <v/>
      </c>
      <c r="M60">
        <f>IF('JobPlanner Data'!S61="","",IF(ISNUMBER('JobPlanner Data'!S61),TEXT('JobPlanner Data'!S61,"YYYY-MM-DD"),""))</f>
        <v/>
      </c>
      <c r="N60">
        <f>IF('JobPlanner Data'!R61="","",IF(ISNUMBER('JobPlanner Data'!R61),TEXT('JobPlanner Data'!R61,"YYYY-MM-DD"),""))</f>
        <v/>
      </c>
      <c r="O60">
        <f>IF('JobPlanner Data'!U61="","",IF(ISNUMBER('JobPlanner Data'!U61),TEXT('JobPlanner Data'!U61,"YYYY-MM-DD"),""))</f>
        <v/>
      </c>
      <c r="P60">
        <f>IF('JobPlanner Data'!O61="","","JobPlanner Data'!O61)</f>
        <v/>
      </c>
      <c r="Q60">
        <f>IF('JobPlanner Data'!P61="","","JobPlanner Data'!P61)</f>
        <v/>
      </c>
    </row>
    <row r="61">
      <c r="A61">
        <f>IF('JobPlanner Data'!A62="","",IF(ISBLANK('JobPlanner Data'!A62),"",'JobPlanner Data'!A62))</f>
        <v/>
      </c>
      <c r="B61">
        <f>IF('JobPlanner Data'!B62="","",LOWER('JobPlanner Data'!B62))</f>
        <v/>
      </c>
      <c r="C61">
        <f>IF('JobPlanner Data'!D62&lt;&gt;"","JobPlanner Data'!D62,IF('JobPlanner Data'!F62&lt;&gt;"","JobPlanner Data'!F62,""))</f>
        <v/>
      </c>
      <c r="D61">
        <f>IF('JobPlanner Data'!J62="","",LOWER('JobPlanner Data'!J62))</f>
        <v/>
      </c>
      <c r="E61">
        <f>IF('JobPlanner Data'!C62="","",IFERROR(VLOOKUP('JobPlanner Data'!C62,'Company Lookup'!A:B,2,FALSE),"[NOT FOUND]"))</f>
        <v/>
      </c>
      <c r="F61" s="5">
        <f>IF('JobPlanner Data'!G62="","",VALUE(SUBSTITUTE(SUBSTITUTE('JobPlanner Data'!G62,"$",""),",","")))</f>
        <v/>
      </c>
      <c r="G61">
        <f>"amount"</f>
        <v/>
      </c>
      <c r="H61">
        <f>IF('JobPlanner Data'!L62="","","JobPlanner Data'!L62)</f>
        <v/>
      </c>
      <c r="I61">
        <f>IF('JobPlanner Data'!H62="","","JobPlanner Data'!H62)</f>
        <v/>
      </c>
      <c r="J61">
        <f>IF('JobPlanner Data'!N62="","",IF(ISNUMBER('JobPlanner Data'!N62),TEXT('JobPlanner Data'!N62,"YYYY-MM-DD"),""))</f>
        <v/>
      </c>
      <c r="K61">
        <f>IF('JobPlanner Data'!Q62="","",IF(ISNUMBER('JobPlanner Data'!Q62),TEXT('JobPlanner Data'!Q62,"YYYY-MM-DD"),""))</f>
        <v/>
      </c>
      <c r="L61">
        <f>IF('JobPlanner Data'!I62&lt;&gt;"",IF(ISNUMBER('JobPlanner Data'!I62),TEXT('JobPlanner Data'!I62,"YYYY-MM-DD"),""),IF('JobPlanner Data'!T62&lt;&gt;"",IF(ISNUMBER('JobPlanner Data'!T62),TEXT('JobPlanner Data'!T62,"YYYY-MM-DD"),""),""))</f>
        <v/>
      </c>
      <c r="M61">
        <f>IF('JobPlanner Data'!S62="","",IF(ISNUMBER('JobPlanner Data'!S62),TEXT('JobPlanner Data'!S62,"YYYY-MM-DD"),""))</f>
        <v/>
      </c>
      <c r="N61">
        <f>IF('JobPlanner Data'!R62="","",IF(ISNUMBER('JobPlanner Data'!R62),TEXT('JobPlanner Data'!R62,"YYYY-MM-DD"),""))</f>
        <v/>
      </c>
      <c r="O61">
        <f>IF('JobPlanner Data'!U62="","",IF(ISNUMBER('JobPlanner Data'!U62),TEXT('JobPlanner Data'!U62,"YYYY-MM-DD"),""))</f>
        <v/>
      </c>
      <c r="P61">
        <f>IF('JobPlanner Data'!O62="","","JobPlanner Data'!O62)</f>
        <v/>
      </c>
      <c r="Q61">
        <f>IF('JobPlanner Data'!P62="","","JobPlanner Data'!P62)</f>
        <v/>
      </c>
    </row>
    <row r="62">
      <c r="A62">
        <f>IF('JobPlanner Data'!A63="","",IF(ISBLANK('JobPlanner Data'!A63),"",'JobPlanner Data'!A63))</f>
        <v/>
      </c>
      <c r="B62">
        <f>IF('JobPlanner Data'!B63="","",LOWER('JobPlanner Data'!B63))</f>
        <v/>
      </c>
      <c r="C62">
        <f>IF('JobPlanner Data'!D63&lt;&gt;"","JobPlanner Data'!D63,IF('JobPlanner Data'!F63&lt;&gt;"","JobPlanner Data'!F63,""))</f>
        <v/>
      </c>
      <c r="D62">
        <f>IF('JobPlanner Data'!J63="","",LOWER('JobPlanner Data'!J63))</f>
        <v/>
      </c>
      <c r="E62">
        <f>IF('JobPlanner Data'!C63="","",IFERROR(VLOOKUP('JobPlanner Data'!C63,'Company Lookup'!A:B,2,FALSE),"[NOT FOUND]"))</f>
        <v/>
      </c>
      <c r="F62" s="5">
        <f>IF('JobPlanner Data'!G63="","",VALUE(SUBSTITUTE(SUBSTITUTE('JobPlanner Data'!G63,"$",""),",","")))</f>
        <v/>
      </c>
      <c r="G62">
        <f>"amount"</f>
        <v/>
      </c>
      <c r="H62">
        <f>IF('JobPlanner Data'!L63="","","JobPlanner Data'!L63)</f>
        <v/>
      </c>
      <c r="I62">
        <f>IF('JobPlanner Data'!H63="","","JobPlanner Data'!H63)</f>
        <v/>
      </c>
      <c r="J62">
        <f>IF('JobPlanner Data'!N63="","",IF(ISNUMBER('JobPlanner Data'!N63),TEXT('JobPlanner Data'!N63,"YYYY-MM-DD"),""))</f>
        <v/>
      </c>
      <c r="K62">
        <f>IF('JobPlanner Data'!Q63="","",IF(ISNUMBER('JobPlanner Data'!Q63),TEXT('JobPlanner Data'!Q63,"YYYY-MM-DD"),""))</f>
        <v/>
      </c>
      <c r="L62">
        <f>IF('JobPlanner Data'!I63&lt;&gt;"",IF(ISNUMBER('JobPlanner Data'!I63),TEXT('JobPlanner Data'!I63,"YYYY-MM-DD"),""),IF('JobPlanner Data'!T63&lt;&gt;"",IF(ISNUMBER('JobPlanner Data'!T63),TEXT('JobPlanner Data'!T63,"YYYY-MM-DD"),""),""))</f>
        <v/>
      </c>
      <c r="M62">
        <f>IF('JobPlanner Data'!S63="","",IF(ISNUMBER('JobPlanner Data'!S63),TEXT('JobPlanner Data'!S63,"YYYY-MM-DD"),""))</f>
        <v/>
      </c>
      <c r="N62">
        <f>IF('JobPlanner Data'!R63="","",IF(ISNUMBER('JobPlanner Data'!R63),TEXT('JobPlanner Data'!R63,"YYYY-MM-DD"),""))</f>
        <v/>
      </c>
      <c r="O62">
        <f>IF('JobPlanner Data'!U63="","",IF(ISNUMBER('JobPlanner Data'!U63),TEXT('JobPlanner Data'!U63,"YYYY-MM-DD"),""))</f>
        <v/>
      </c>
      <c r="P62">
        <f>IF('JobPlanner Data'!O63="","","JobPlanner Data'!O63)</f>
        <v/>
      </c>
      <c r="Q62">
        <f>IF('JobPlanner Data'!P63="","","JobPlanner Data'!P63)</f>
        <v/>
      </c>
    </row>
    <row r="63">
      <c r="A63">
        <f>IF('JobPlanner Data'!A64="","",IF(ISBLANK('JobPlanner Data'!A64),"",'JobPlanner Data'!A64))</f>
        <v/>
      </c>
      <c r="B63">
        <f>IF('JobPlanner Data'!B64="","",LOWER('JobPlanner Data'!B64))</f>
        <v/>
      </c>
      <c r="C63">
        <f>IF('JobPlanner Data'!D64&lt;&gt;"","JobPlanner Data'!D64,IF('JobPlanner Data'!F64&lt;&gt;"","JobPlanner Data'!F64,""))</f>
        <v/>
      </c>
      <c r="D63">
        <f>IF('JobPlanner Data'!J64="","",LOWER('JobPlanner Data'!J64))</f>
        <v/>
      </c>
      <c r="E63">
        <f>IF('JobPlanner Data'!C64="","",IFERROR(VLOOKUP('JobPlanner Data'!C64,'Company Lookup'!A:B,2,FALSE),"[NOT FOUND]"))</f>
        <v/>
      </c>
      <c r="F63" s="5">
        <f>IF('JobPlanner Data'!G64="","",VALUE(SUBSTITUTE(SUBSTITUTE('JobPlanner Data'!G64,"$",""),",","")))</f>
        <v/>
      </c>
      <c r="G63">
        <f>"amount"</f>
        <v/>
      </c>
      <c r="H63">
        <f>IF('JobPlanner Data'!L64="","","JobPlanner Data'!L64)</f>
        <v/>
      </c>
      <c r="I63">
        <f>IF('JobPlanner Data'!H64="","","JobPlanner Data'!H64)</f>
        <v/>
      </c>
      <c r="J63">
        <f>IF('JobPlanner Data'!N64="","",IF(ISNUMBER('JobPlanner Data'!N64),TEXT('JobPlanner Data'!N64,"YYYY-MM-DD"),""))</f>
        <v/>
      </c>
      <c r="K63">
        <f>IF('JobPlanner Data'!Q64="","",IF(ISNUMBER('JobPlanner Data'!Q64),TEXT('JobPlanner Data'!Q64,"YYYY-MM-DD"),""))</f>
        <v/>
      </c>
      <c r="L63">
        <f>IF('JobPlanner Data'!I64&lt;&gt;"",IF(ISNUMBER('JobPlanner Data'!I64),TEXT('JobPlanner Data'!I64,"YYYY-MM-DD"),""),IF('JobPlanner Data'!T64&lt;&gt;"",IF(ISNUMBER('JobPlanner Data'!T64),TEXT('JobPlanner Data'!T64,"YYYY-MM-DD"),""),""))</f>
        <v/>
      </c>
      <c r="M63">
        <f>IF('JobPlanner Data'!S64="","",IF(ISNUMBER('JobPlanner Data'!S64),TEXT('JobPlanner Data'!S64,"YYYY-MM-DD"),""))</f>
        <v/>
      </c>
      <c r="N63">
        <f>IF('JobPlanner Data'!R64="","",IF(ISNUMBER('JobPlanner Data'!R64),TEXT('JobPlanner Data'!R64,"YYYY-MM-DD"),""))</f>
        <v/>
      </c>
      <c r="O63">
        <f>IF('JobPlanner Data'!U64="","",IF(ISNUMBER('JobPlanner Data'!U64),TEXT('JobPlanner Data'!U64,"YYYY-MM-DD"),""))</f>
        <v/>
      </c>
      <c r="P63">
        <f>IF('JobPlanner Data'!O64="","","JobPlanner Data'!O64)</f>
        <v/>
      </c>
      <c r="Q63">
        <f>IF('JobPlanner Data'!P64="","","JobPlanner Data'!P64)</f>
        <v/>
      </c>
    </row>
    <row r="64">
      <c r="A64">
        <f>IF('JobPlanner Data'!A65="","",IF(ISBLANK('JobPlanner Data'!A65),"",'JobPlanner Data'!A65))</f>
        <v/>
      </c>
      <c r="B64">
        <f>IF('JobPlanner Data'!B65="","",LOWER('JobPlanner Data'!B65))</f>
        <v/>
      </c>
      <c r="C64">
        <f>IF('JobPlanner Data'!D65&lt;&gt;"","JobPlanner Data'!D65,IF('JobPlanner Data'!F65&lt;&gt;"","JobPlanner Data'!F65,""))</f>
        <v/>
      </c>
      <c r="D64">
        <f>IF('JobPlanner Data'!J65="","",LOWER('JobPlanner Data'!J65))</f>
        <v/>
      </c>
      <c r="E64">
        <f>IF('JobPlanner Data'!C65="","",IFERROR(VLOOKUP('JobPlanner Data'!C65,'Company Lookup'!A:B,2,FALSE),"[NOT FOUND]"))</f>
        <v/>
      </c>
      <c r="F64" s="5">
        <f>IF('JobPlanner Data'!G65="","",VALUE(SUBSTITUTE(SUBSTITUTE('JobPlanner Data'!G65,"$",""),",","")))</f>
        <v/>
      </c>
      <c r="G64">
        <f>"amount"</f>
        <v/>
      </c>
      <c r="H64">
        <f>IF('JobPlanner Data'!L65="","","JobPlanner Data'!L65)</f>
        <v/>
      </c>
      <c r="I64">
        <f>IF('JobPlanner Data'!H65="","","JobPlanner Data'!H65)</f>
        <v/>
      </c>
      <c r="J64">
        <f>IF('JobPlanner Data'!N65="","",IF(ISNUMBER('JobPlanner Data'!N65),TEXT('JobPlanner Data'!N65,"YYYY-MM-DD"),""))</f>
        <v/>
      </c>
      <c r="K64">
        <f>IF('JobPlanner Data'!Q65="","",IF(ISNUMBER('JobPlanner Data'!Q65),TEXT('JobPlanner Data'!Q65,"YYYY-MM-DD"),""))</f>
        <v/>
      </c>
      <c r="L64">
        <f>IF('JobPlanner Data'!I65&lt;&gt;"",IF(ISNUMBER('JobPlanner Data'!I65),TEXT('JobPlanner Data'!I65,"YYYY-MM-DD"),""),IF('JobPlanner Data'!T65&lt;&gt;"",IF(ISNUMBER('JobPlanner Data'!T65),TEXT('JobPlanner Data'!T65,"YYYY-MM-DD"),""),""))</f>
        <v/>
      </c>
      <c r="M64">
        <f>IF('JobPlanner Data'!S65="","",IF(ISNUMBER('JobPlanner Data'!S65),TEXT('JobPlanner Data'!S65,"YYYY-MM-DD"),""))</f>
        <v/>
      </c>
      <c r="N64">
        <f>IF('JobPlanner Data'!R65="","",IF(ISNUMBER('JobPlanner Data'!R65),TEXT('JobPlanner Data'!R65,"YYYY-MM-DD"),""))</f>
        <v/>
      </c>
      <c r="O64">
        <f>IF('JobPlanner Data'!U65="","",IF(ISNUMBER('JobPlanner Data'!U65),TEXT('JobPlanner Data'!U65,"YYYY-MM-DD"),""))</f>
        <v/>
      </c>
      <c r="P64">
        <f>IF('JobPlanner Data'!O65="","","JobPlanner Data'!O65)</f>
        <v/>
      </c>
      <c r="Q64">
        <f>IF('JobPlanner Data'!P65="","","JobPlanner Data'!P65)</f>
        <v/>
      </c>
    </row>
    <row r="65">
      <c r="A65">
        <f>IF('JobPlanner Data'!A66="","",IF(ISBLANK('JobPlanner Data'!A66),"",'JobPlanner Data'!A66))</f>
        <v/>
      </c>
      <c r="B65">
        <f>IF('JobPlanner Data'!B66="","",LOWER('JobPlanner Data'!B66))</f>
        <v/>
      </c>
      <c r="C65">
        <f>IF('JobPlanner Data'!D66&lt;&gt;"","JobPlanner Data'!D66,IF('JobPlanner Data'!F66&lt;&gt;"","JobPlanner Data'!F66,""))</f>
        <v/>
      </c>
      <c r="D65">
        <f>IF('JobPlanner Data'!J66="","",LOWER('JobPlanner Data'!J66))</f>
        <v/>
      </c>
      <c r="E65">
        <f>IF('JobPlanner Data'!C66="","",IFERROR(VLOOKUP('JobPlanner Data'!C66,'Company Lookup'!A:B,2,FALSE),"[NOT FOUND]"))</f>
        <v/>
      </c>
      <c r="F65" s="5">
        <f>IF('JobPlanner Data'!G66="","",VALUE(SUBSTITUTE(SUBSTITUTE('JobPlanner Data'!G66,"$",""),",","")))</f>
        <v/>
      </c>
      <c r="G65">
        <f>"amount"</f>
        <v/>
      </c>
      <c r="H65">
        <f>IF('JobPlanner Data'!L66="","","JobPlanner Data'!L66)</f>
        <v/>
      </c>
      <c r="I65">
        <f>IF('JobPlanner Data'!H66="","","JobPlanner Data'!H66)</f>
        <v/>
      </c>
      <c r="J65">
        <f>IF('JobPlanner Data'!N66="","",IF(ISNUMBER('JobPlanner Data'!N66),TEXT('JobPlanner Data'!N66,"YYYY-MM-DD"),""))</f>
        <v/>
      </c>
      <c r="K65">
        <f>IF('JobPlanner Data'!Q66="","",IF(ISNUMBER('JobPlanner Data'!Q66),TEXT('JobPlanner Data'!Q66,"YYYY-MM-DD"),""))</f>
        <v/>
      </c>
      <c r="L65">
        <f>IF('JobPlanner Data'!I66&lt;&gt;"",IF(ISNUMBER('JobPlanner Data'!I66),TEXT('JobPlanner Data'!I66,"YYYY-MM-DD"),""),IF('JobPlanner Data'!T66&lt;&gt;"",IF(ISNUMBER('JobPlanner Data'!T66),TEXT('JobPlanner Data'!T66,"YYYY-MM-DD"),""),""))</f>
        <v/>
      </c>
      <c r="M65">
        <f>IF('JobPlanner Data'!S66="","",IF(ISNUMBER('JobPlanner Data'!S66),TEXT('JobPlanner Data'!S66,"YYYY-MM-DD"),""))</f>
        <v/>
      </c>
      <c r="N65">
        <f>IF('JobPlanner Data'!R66="","",IF(ISNUMBER('JobPlanner Data'!R66),TEXT('JobPlanner Data'!R66,"YYYY-MM-DD"),""))</f>
        <v/>
      </c>
      <c r="O65">
        <f>IF('JobPlanner Data'!U66="","",IF(ISNUMBER('JobPlanner Data'!U66),TEXT('JobPlanner Data'!U66,"YYYY-MM-DD"),""))</f>
        <v/>
      </c>
      <c r="P65">
        <f>IF('JobPlanner Data'!O66="","","JobPlanner Data'!O66)</f>
        <v/>
      </c>
      <c r="Q65">
        <f>IF('JobPlanner Data'!P66="","","JobPlanner Data'!P66)</f>
        <v/>
      </c>
    </row>
    <row r="66">
      <c r="A66">
        <f>IF('JobPlanner Data'!A67="","",IF(ISBLANK('JobPlanner Data'!A67),"",'JobPlanner Data'!A67))</f>
        <v/>
      </c>
      <c r="B66">
        <f>IF('JobPlanner Data'!B67="","",LOWER('JobPlanner Data'!B67))</f>
        <v/>
      </c>
      <c r="C66">
        <f>IF('JobPlanner Data'!D67&lt;&gt;"","JobPlanner Data'!D67,IF('JobPlanner Data'!F67&lt;&gt;"","JobPlanner Data'!F67,""))</f>
        <v/>
      </c>
      <c r="D66">
        <f>IF('JobPlanner Data'!J67="","",LOWER('JobPlanner Data'!J67))</f>
        <v/>
      </c>
      <c r="E66">
        <f>IF('JobPlanner Data'!C67="","",IFERROR(VLOOKUP('JobPlanner Data'!C67,'Company Lookup'!A:B,2,FALSE),"[NOT FOUND]"))</f>
        <v/>
      </c>
      <c r="F66" s="5">
        <f>IF('JobPlanner Data'!G67="","",VALUE(SUBSTITUTE(SUBSTITUTE('JobPlanner Data'!G67,"$",""),",","")))</f>
        <v/>
      </c>
      <c r="G66">
        <f>"amount"</f>
        <v/>
      </c>
      <c r="H66">
        <f>IF('JobPlanner Data'!L67="","","JobPlanner Data'!L67)</f>
        <v/>
      </c>
      <c r="I66">
        <f>IF('JobPlanner Data'!H67="","","JobPlanner Data'!H67)</f>
        <v/>
      </c>
      <c r="J66">
        <f>IF('JobPlanner Data'!N67="","",IF(ISNUMBER('JobPlanner Data'!N67),TEXT('JobPlanner Data'!N67,"YYYY-MM-DD"),""))</f>
        <v/>
      </c>
      <c r="K66">
        <f>IF('JobPlanner Data'!Q67="","",IF(ISNUMBER('JobPlanner Data'!Q67),TEXT('JobPlanner Data'!Q67,"YYYY-MM-DD"),""))</f>
        <v/>
      </c>
      <c r="L66">
        <f>IF('JobPlanner Data'!I67&lt;&gt;"",IF(ISNUMBER('JobPlanner Data'!I67),TEXT('JobPlanner Data'!I67,"YYYY-MM-DD"),""),IF('JobPlanner Data'!T67&lt;&gt;"",IF(ISNUMBER('JobPlanner Data'!T67),TEXT('JobPlanner Data'!T67,"YYYY-MM-DD"),""),""))</f>
        <v/>
      </c>
      <c r="M66">
        <f>IF('JobPlanner Data'!S67="","",IF(ISNUMBER('JobPlanner Data'!S67),TEXT('JobPlanner Data'!S67,"YYYY-MM-DD"),""))</f>
        <v/>
      </c>
      <c r="N66">
        <f>IF('JobPlanner Data'!R67="","",IF(ISNUMBER('JobPlanner Data'!R67),TEXT('JobPlanner Data'!R67,"YYYY-MM-DD"),""))</f>
        <v/>
      </c>
      <c r="O66">
        <f>IF('JobPlanner Data'!U67="","",IF(ISNUMBER('JobPlanner Data'!U67),TEXT('JobPlanner Data'!U67,"YYYY-MM-DD"),""))</f>
        <v/>
      </c>
      <c r="P66">
        <f>IF('JobPlanner Data'!O67="","","JobPlanner Data'!O67)</f>
        <v/>
      </c>
      <c r="Q66">
        <f>IF('JobPlanner Data'!P67="","","JobPlanner Data'!P67)</f>
        <v/>
      </c>
    </row>
    <row r="67">
      <c r="A67">
        <f>IF('JobPlanner Data'!A68="","",IF(ISBLANK('JobPlanner Data'!A68),"",'JobPlanner Data'!A68))</f>
        <v/>
      </c>
      <c r="B67">
        <f>IF('JobPlanner Data'!B68="","",LOWER('JobPlanner Data'!B68))</f>
        <v/>
      </c>
      <c r="C67">
        <f>IF('JobPlanner Data'!D68&lt;&gt;"","JobPlanner Data'!D68,IF('JobPlanner Data'!F68&lt;&gt;"","JobPlanner Data'!F68,""))</f>
        <v/>
      </c>
      <c r="D67">
        <f>IF('JobPlanner Data'!J68="","",LOWER('JobPlanner Data'!J68))</f>
        <v/>
      </c>
      <c r="E67">
        <f>IF('JobPlanner Data'!C68="","",IFERROR(VLOOKUP('JobPlanner Data'!C68,'Company Lookup'!A:B,2,FALSE),"[NOT FOUND]"))</f>
        <v/>
      </c>
      <c r="F67" s="5">
        <f>IF('JobPlanner Data'!G68="","",VALUE(SUBSTITUTE(SUBSTITUTE('JobPlanner Data'!G68,"$",""),",","")))</f>
        <v/>
      </c>
      <c r="G67">
        <f>"amount"</f>
        <v/>
      </c>
      <c r="H67">
        <f>IF('JobPlanner Data'!L68="","","JobPlanner Data'!L68)</f>
        <v/>
      </c>
      <c r="I67">
        <f>IF('JobPlanner Data'!H68="","","JobPlanner Data'!H68)</f>
        <v/>
      </c>
      <c r="J67">
        <f>IF('JobPlanner Data'!N68="","",IF(ISNUMBER('JobPlanner Data'!N68),TEXT('JobPlanner Data'!N68,"YYYY-MM-DD"),""))</f>
        <v/>
      </c>
      <c r="K67">
        <f>IF('JobPlanner Data'!Q68="","",IF(ISNUMBER('JobPlanner Data'!Q68),TEXT('JobPlanner Data'!Q68,"YYYY-MM-DD"),""))</f>
        <v/>
      </c>
      <c r="L67">
        <f>IF('JobPlanner Data'!I68&lt;&gt;"",IF(ISNUMBER('JobPlanner Data'!I68),TEXT('JobPlanner Data'!I68,"YYYY-MM-DD"),""),IF('JobPlanner Data'!T68&lt;&gt;"",IF(ISNUMBER('JobPlanner Data'!T68),TEXT('JobPlanner Data'!T68,"YYYY-MM-DD"),""),""))</f>
        <v/>
      </c>
      <c r="M67">
        <f>IF('JobPlanner Data'!S68="","",IF(ISNUMBER('JobPlanner Data'!S68),TEXT('JobPlanner Data'!S68,"YYYY-MM-DD"),""))</f>
        <v/>
      </c>
      <c r="N67">
        <f>IF('JobPlanner Data'!R68="","",IF(ISNUMBER('JobPlanner Data'!R68),TEXT('JobPlanner Data'!R68,"YYYY-MM-DD"),""))</f>
        <v/>
      </c>
      <c r="O67">
        <f>IF('JobPlanner Data'!U68="","",IF(ISNUMBER('JobPlanner Data'!U68),TEXT('JobPlanner Data'!U68,"YYYY-MM-DD"),""))</f>
        <v/>
      </c>
      <c r="P67">
        <f>IF('JobPlanner Data'!O68="","","JobPlanner Data'!O68)</f>
        <v/>
      </c>
      <c r="Q67">
        <f>IF('JobPlanner Data'!P68="","","JobPlanner Data'!P68)</f>
        <v/>
      </c>
    </row>
    <row r="68">
      <c r="A68">
        <f>IF('JobPlanner Data'!A69="","",IF(ISBLANK('JobPlanner Data'!A69),"",'JobPlanner Data'!A69))</f>
        <v/>
      </c>
      <c r="B68">
        <f>IF('JobPlanner Data'!B69="","",LOWER('JobPlanner Data'!B69))</f>
        <v/>
      </c>
      <c r="C68">
        <f>IF('JobPlanner Data'!D69&lt;&gt;"","JobPlanner Data'!D69,IF('JobPlanner Data'!F69&lt;&gt;"","JobPlanner Data'!F69,""))</f>
        <v/>
      </c>
      <c r="D68">
        <f>IF('JobPlanner Data'!J69="","",LOWER('JobPlanner Data'!J69))</f>
        <v/>
      </c>
      <c r="E68">
        <f>IF('JobPlanner Data'!C69="","",IFERROR(VLOOKUP('JobPlanner Data'!C69,'Company Lookup'!A:B,2,FALSE),"[NOT FOUND]"))</f>
        <v/>
      </c>
      <c r="F68" s="5">
        <f>IF('JobPlanner Data'!G69="","",VALUE(SUBSTITUTE(SUBSTITUTE('JobPlanner Data'!G69,"$",""),",","")))</f>
        <v/>
      </c>
      <c r="G68">
        <f>"amount"</f>
        <v/>
      </c>
      <c r="H68">
        <f>IF('JobPlanner Data'!L69="","","JobPlanner Data'!L69)</f>
        <v/>
      </c>
      <c r="I68">
        <f>IF('JobPlanner Data'!H69="","","JobPlanner Data'!H69)</f>
        <v/>
      </c>
      <c r="J68">
        <f>IF('JobPlanner Data'!N69="","",IF(ISNUMBER('JobPlanner Data'!N69),TEXT('JobPlanner Data'!N69,"YYYY-MM-DD"),""))</f>
        <v/>
      </c>
      <c r="K68">
        <f>IF('JobPlanner Data'!Q69="","",IF(ISNUMBER('JobPlanner Data'!Q69),TEXT('JobPlanner Data'!Q69,"YYYY-MM-DD"),""))</f>
        <v/>
      </c>
      <c r="L68">
        <f>IF('JobPlanner Data'!I69&lt;&gt;"",IF(ISNUMBER('JobPlanner Data'!I69),TEXT('JobPlanner Data'!I69,"YYYY-MM-DD"),""),IF('JobPlanner Data'!T69&lt;&gt;"",IF(ISNUMBER('JobPlanner Data'!T69),TEXT('JobPlanner Data'!T69,"YYYY-MM-DD"),""),""))</f>
        <v/>
      </c>
      <c r="M68">
        <f>IF('JobPlanner Data'!S69="","",IF(ISNUMBER('JobPlanner Data'!S69),TEXT('JobPlanner Data'!S69,"YYYY-MM-DD"),""))</f>
        <v/>
      </c>
      <c r="N68">
        <f>IF('JobPlanner Data'!R69="","",IF(ISNUMBER('JobPlanner Data'!R69),TEXT('JobPlanner Data'!R69,"YYYY-MM-DD"),""))</f>
        <v/>
      </c>
      <c r="O68">
        <f>IF('JobPlanner Data'!U69="","",IF(ISNUMBER('JobPlanner Data'!U69),TEXT('JobPlanner Data'!U69,"YYYY-MM-DD"),""))</f>
        <v/>
      </c>
      <c r="P68">
        <f>IF('JobPlanner Data'!O69="","","JobPlanner Data'!O69)</f>
        <v/>
      </c>
      <c r="Q68">
        <f>IF('JobPlanner Data'!P69="","","JobPlanner Data'!P69)</f>
        <v/>
      </c>
    </row>
    <row r="69">
      <c r="A69">
        <f>IF('JobPlanner Data'!A70="","",IF(ISBLANK('JobPlanner Data'!A70),"",'JobPlanner Data'!A70))</f>
        <v/>
      </c>
      <c r="B69">
        <f>IF('JobPlanner Data'!B70="","",LOWER('JobPlanner Data'!B70))</f>
        <v/>
      </c>
      <c r="C69">
        <f>IF('JobPlanner Data'!D70&lt;&gt;"","JobPlanner Data'!D70,IF('JobPlanner Data'!F70&lt;&gt;"","JobPlanner Data'!F70,""))</f>
        <v/>
      </c>
      <c r="D69">
        <f>IF('JobPlanner Data'!J70="","",LOWER('JobPlanner Data'!J70))</f>
        <v/>
      </c>
      <c r="E69">
        <f>IF('JobPlanner Data'!C70="","",IFERROR(VLOOKUP('JobPlanner Data'!C70,'Company Lookup'!A:B,2,FALSE),"[NOT FOUND]"))</f>
        <v/>
      </c>
      <c r="F69" s="5">
        <f>IF('JobPlanner Data'!G70="","",VALUE(SUBSTITUTE(SUBSTITUTE('JobPlanner Data'!G70,"$",""),",","")))</f>
        <v/>
      </c>
      <c r="G69">
        <f>"amount"</f>
        <v/>
      </c>
      <c r="H69">
        <f>IF('JobPlanner Data'!L70="","","JobPlanner Data'!L70)</f>
        <v/>
      </c>
      <c r="I69">
        <f>IF('JobPlanner Data'!H70="","","JobPlanner Data'!H70)</f>
        <v/>
      </c>
      <c r="J69">
        <f>IF('JobPlanner Data'!N70="","",IF(ISNUMBER('JobPlanner Data'!N70),TEXT('JobPlanner Data'!N70,"YYYY-MM-DD"),""))</f>
        <v/>
      </c>
      <c r="K69">
        <f>IF('JobPlanner Data'!Q70="","",IF(ISNUMBER('JobPlanner Data'!Q70),TEXT('JobPlanner Data'!Q70,"YYYY-MM-DD"),""))</f>
        <v/>
      </c>
      <c r="L69">
        <f>IF('JobPlanner Data'!I70&lt;&gt;"",IF(ISNUMBER('JobPlanner Data'!I70),TEXT('JobPlanner Data'!I70,"YYYY-MM-DD"),""),IF('JobPlanner Data'!T70&lt;&gt;"",IF(ISNUMBER('JobPlanner Data'!T70),TEXT('JobPlanner Data'!T70,"YYYY-MM-DD"),""),""))</f>
        <v/>
      </c>
      <c r="M69">
        <f>IF('JobPlanner Data'!S70="","",IF(ISNUMBER('JobPlanner Data'!S70),TEXT('JobPlanner Data'!S70,"YYYY-MM-DD"),""))</f>
        <v/>
      </c>
      <c r="N69">
        <f>IF('JobPlanner Data'!R70="","",IF(ISNUMBER('JobPlanner Data'!R70),TEXT('JobPlanner Data'!R70,"YYYY-MM-DD"),""))</f>
        <v/>
      </c>
      <c r="O69">
        <f>IF('JobPlanner Data'!U70="","",IF(ISNUMBER('JobPlanner Data'!U70),TEXT('JobPlanner Data'!U70,"YYYY-MM-DD"),""))</f>
        <v/>
      </c>
      <c r="P69">
        <f>IF('JobPlanner Data'!O70="","","JobPlanner Data'!O70)</f>
        <v/>
      </c>
      <c r="Q69">
        <f>IF('JobPlanner Data'!P70="","","JobPlanner Data'!P70)</f>
        <v/>
      </c>
    </row>
    <row r="70">
      <c r="A70">
        <f>IF('JobPlanner Data'!A71="","",IF(ISBLANK('JobPlanner Data'!A71),"",'JobPlanner Data'!A71))</f>
        <v/>
      </c>
      <c r="B70">
        <f>IF('JobPlanner Data'!B71="","",LOWER('JobPlanner Data'!B71))</f>
        <v/>
      </c>
      <c r="C70">
        <f>IF('JobPlanner Data'!D71&lt;&gt;"","JobPlanner Data'!D71,IF('JobPlanner Data'!F71&lt;&gt;"","JobPlanner Data'!F71,""))</f>
        <v/>
      </c>
      <c r="D70">
        <f>IF('JobPlanner Data'!J71="","",LOWER('JobPlanner Data'!J71))</f>
        <v/>
      </c>
      <c r="E70">
        <f>IF('JobPlanner Data'!C71="","",IFERROR(VLOOKUP('JobPlanner Data'!C71,'Company Lookup'!A:B,2,FALSE),"[NOT FOUND]"))</f>
        <v/>
      </c>
      <c r="F70" s="5">
        <f>IF('JobPlanner Data'!G71="","",VALUE(SUBSTITUTE(SUBSTITUTE('JobPlanner Data'!G71,"$",""),",","")))</f>
        <v/>
      </c>
      <c r="G70">
        <f>"amount"</f>
        <v/>
      </c>
      <c r="H70">
        <f>IF('JobPlanner Data'!L71="","","JobPlanner Data'!L71)</f>
        <v/>
      </c>
      <c r="I70">
        <f>IF('JobPlanner Data'!H71="","","JobPlanner Data'!H71)</f>
        <v/>
      </c>
      <c r="J70">
        <f>IF('JobPlanner Data'!N71="","",IF(ISNUMBER('JobPlanner Data'!N71),TEXT('JobPlanner Data'!N71,"YYYY-MM-DD"),""))</f>
        <v/>
      </c>
      <c r="K70">
        <f>IF('JobPlanner Data'!Q71="","",IF(ISNUMBER('JobPlanner Data'!Q71),TEXT('JobPlanner Data'!Q71,"YYYY-MM-DD"),""))</f>
        <v/>
      </c>
      <c r="L70">
        <f>IF('JobPlanner Data'!I71&lt;&gt;"",IF(ISNUMBER('JobPlanner Data'!I71),TEXT('JobPlanner Data'!I71,"YYYY-MM-DD"),""),IF('JobPlanner Data'!T71&lt;&gt;"",IF(ISNUMBER('JobPlanner Data'!T71),TEXT('JobPlanner Data'!T71,"YYYY-MM-DD"),""),""))</f>
        <v/>
      </c>
      <c r="M70">
        <f>IF('JobPlanner Data'!S71="","",IF(ISNUMBER('JobPlanner Data'!S71),TEXT('JobPlanner Data'!S71,"YYYY-MM-DD"),""))</f>
        <v/>
      </c>
      <c r="N70">
        <f>IF('JobPlanner Data'!R71="","",IF(ISNUMBER('JobPlanner Data'!R71),TEXT('JobPlanner Data'!R71,"YYYY-MM-DD"),""))</f>
        <v/>
      </c>
      <c r="O70">
        <f>IF('JobPlanner Data'!U71="","",IF(ISNUMBER('JobPlanner Data'!U71),TEXT('JobPlanner Data'!U71,"YYYY-MM-DD"),""))</f>
        <v/>
      </c>
      <c r="P70">
        <f>IF('JobPlanner Data'!O71="","","JobPlanner Data'!O71)</f>
        <v/>
      </c>
      <c r="Q70">
        <f>IF('JobPlanner Data'!P71="","","JobPlanner Data'!P71)</f>
        <v/>
      </c>
    </row>
    <row r="71">
      <c r="A71">
        <f>IF('JobPlanner Data'!A72="","",IF(ISBLANK('JobPlanner Data'!A72),"",'JobPlanner Data'!A72))</f>
        <v/>
      </c>
      <c r="B71">
        <f>IF('JobPlanner Data'!B72="","",LOWER('JobPlanner Data'!B72))</f>
        <v/>
      </c>
      <c r="C71">
        <f>IF('JobPlanner Data'!D72&lt;&gt;"","JobPlanner Data'!D72,IF('JobPlanner Data'!F72&lt;&gt;"","JobPlanner Data'!F72,""))</f>
        <v/>
      </c>
      <c r="D71">
        <f>IF('JobPlanner Data'!J72="","",LOWER('JobPlanner Data'!J72))</f>
        <v/>
      </c>
      <c r="E71">
        <f>IF('JobPlanner Data'!C72="","",IFERROR(VLOOKUP('JobPlanner Data'!C72,'Company Lookup'!A:B,2,FALSE),"[NOT FOUND]"))</f>
        <v/>
      </c>
      <c r="F71" s="5">
        <f>IF('JobPlanner Data'!G72="","",VALUE(SUBSTITUTE(SUBSTITUTE('JobPlanner Data'!G72,"$",""),",","")))</f>
        <v/>
      </c>
      <c r="G71">
        <f>"amount"</f>
        <v/>
      </c>
      <c r="H71">
        <f>IF('JobPlanner Data'!L72="","","JobPlanner Data'!L72)</f>
        <v/>
      </c>
      <c r="I71">
        <f>IF('JobPlanner Data'!H72="","","JobPlanner Data'!H72)</f>
        <v/>
      </c>
      <c r="J71">
        <f>IF('JobPlanner Data'!N72="","",IF(ISNUMBER('JobPlanner Data'!N72),TEXT('JobPlanner Data'!N72,"YYYY-MM-DD"),""))</f>
        <v/>
      </c>
      <c r="K71">
        <f>IF('JobPlanner Data'!Q72="","",IF(ISNUMBER('JobPlanner Data'!Q72),TEXT('JobPlanner Data'!Q72,"YYYY-MM-DD"),""))</f>
        <v/>
      </c>
      <c r="L71">
        <f>IF('JobPlanner Data'!I72&lt;&gt;"",IF(ISNUMBER('JobPlanner Data'!I72),TEXT('JobPlanner Data'!I72,"YYYY-MM-DD"),""),IF('JobPlanner Data'!T72&lt;&gt;"",IF(ISNUMBER('JobPlanner Data'!T72),TEXT('JobPlanner Data'!T72,"YYYY-MM-DD"),""),""))</f>
        <v/>
      </c>
      <c r="M71">
        <f>IF('JobPlanner Data'!S72="","",IF(ISNUMBER('JobPlanner Data'!S72),TEXT('JobPlanner Data'!S72,"YYYY-MM-DD"),""))</f>
        <v/>
      </c>
      <c r="N71">
        <f>IF('JobPlanner Data'!R72="","",IF(ISNUMBER('JobPlanner Data'!R72),TEXT('JobPlanner Data'!R72,"YYYY-MM-DD"),""))</f>
        <v/>
      </c>
      <c r="O71">
        <f>IF('JobPlanner Data'!U72="","",IF(ISNUMBER('JobPlanner Data'!U72),TEXT('JobPlanner Data'!U72,"YYYY-MM-DD"),""))</f>
        <v/>
      </c>
      <c r="P71">
        <f>IF('JobPlanner Data'!O72="","","JobPlanner Data'!O72)</f>
        <v/>
      </c>
      <c r="Q71">
        <f>IF('JobPlanner Data'!P72="","","JobPlanner Data'!P72)</f>
        <v/>
      </c>
    </row>
    <row r="72">
      <c r="A72">
        <f>IF('JobPlanner Data'!A73="","",IF(ISBLANK('JobPlanner Data'!A73),"",'JobPlanner Data'!A73))</f>
        <v/>
      </c>
      <c r="B72">
        <f>IF('JobPlanner Data'!B73="","",LOWER('JobPlanner Data'!B73))</f>
        <v/>
      </c>
      <c r="C72">
        <f>IF('JobPlanner Data'!D73&lt;&gt;"","JobPlanner Data'!D73,IF('JobPlanner Data'!F73&lt;&gt;"","JobPlanner Data'!F73,""))</f>
        <v/>
      </c>
      <c r="D72">
        <f>IF('JobPlanner Data'!J73="","",LOWER('JobPlanner Data'!J73))</f>
        <v/>
      </c>
      <c r="E72">
        <f>IF('JobPlanner Data'!C73="","",IFERROR(VLOOKUP('JobPlanner Data'!C73,'Company Lookup'!A:B,2,FALSE),"[NOT FOUND]"))</f>
        <v/>
      </c>
      <c r="F72" s="5">
        <f>IF('JobPlanner Data'!G73="","",VALUE(SUBSTITUTE(SUBSTITUTE('JobPlanner Data'!G73,"$",""),",","")))</f>
        <v/>
      </c>
      <c r="G72">
        <f>"amount"</f>
        <v/>
      </c>
      <c r="H72">
        <f>IF('JobPlanner Data'!L73="","","JobPlanner Data'!L73)</f>
        <v/>
      </c>
      <c r="I72">
        <f>IF('JobPlanner Data'!H73="","","JobPlanner Data'!H73)</f>
        <v/>
      </c>
      <c r="J72">
        <f>IF('JobPlanner Data'!N73="","",IF(ISNUMBER('JobPlanner Data'!N73),TEXT('JobPlanner Data'!N73,"YYYY-MM-DD"),""))</f>
        <v/>
      </c>
      <c r="K72">
        <f>IF('JobPlanner Data'!Q73="","",IF(ISNUMBER('JobPlanner Data'!Q73),TEXT('JobPlanner Data'!Q73,"YYYY-MM-DD"),""))</f>
        <v/>
      </c>
      <c r="L72">
        <f>IF('JobPlanner Data'!I73&lt;&gt;"",IF(ISNUMBER('JobPlanner Data'!I73),TEXT('JobPlanner Data'!I73,"YYYY-MM-DD"),""),IF('JobPlanner Data'!T73&lt;&gt;"",IF(ISNUMBER('JobPlanner Data'!T73),TEXT('JobPlanner Data'!T73,"YYYY-MM-DD"),""),""))</f>
        <v/>
      </c>
      <c r="M72">
        <f>IF('JobPlanner Data'!S73="","",IF(ISNUMBER('JobPlanner Data'!S73),TEXT('JobPlanner Data'!S73,"YYYY-MM-DD"),""))</f>
        <v/>
      </c>
      <c r="N72">
        <f>IF('JobPlanner Data'!R73="","",IF(ISNUMBER('JobPlanner Data'!R73),TEXT('JobPlanner Data'!R73,"YYYY-MM-DD"),""))</f>
        <v/>
      </c>
      <c r="O72">
        <f>IF('JobPlanner Data'!U73="","",IF(ISNUMBER('JobPlanner Data'!U73),TEXT('JobPlanner Data'!U73,"YYYY-MM-DD"),""))</f>
        <v/>
      </c>
      <c r="P72">
        <f>IF('JobPlanner Data'!O73="","","JobPlanner Data'!O73)</f>
        <v/>
      </c>
      <c r="Q72">
        <f>IF('JobPlanner Data'!P73="","","JobPlanner Data'!P73)</f>
        <v/>
      </c>
    </row>
    <row r="73">
      <c r="A73">
        <f>IF('JobPlanner Data'!A74="","",IF(ISBLANK('JobPlanner Data'!A74),"",'JobPlanner Data'!A74))</f>
        <v/>
      </c>
      <c r="B73">
        <f>IF('JobPlanner Data'!B74="","",LOWER('JobPlanner Data'!B74))</f>
        <v/>
      </c>
      <c r="C73">
        <f>IF('JobPlanner Data'!D74&lt;&gt;"","JobPlanner Data'!D74,IF('JobPlanner Data'!F74&lt;&gt;"","JobPlanner Data'!F74,""))</f>
        <v/>
      </c>
      <c r="D73">
        <f>IF('JobPlanner Data'!J74="","",LOWER('JobPlanner Data'!J74))</f>
        <v/>
      </c>
      <c r="E73">
        <f>IF('JobPlanner Data'!C74="","",IFERROR(VLOOKUP('JobPlanner Data'!C74,'Company Lookup'!A:B,2,FALSE),"[NOT FOUND]"))</f>
        <v/>
      </c>
      <c r="F73" s="5">
        <f>IF('JobPlanner Data'!G74="","",VALUE(SUBSTITUTE(SUBSTITUTE('JobPlanner Data'!G74,"$",""),",","")))</f>
        <v/>
      </c>
      <c r="G73">
        <f>"amount"</f>
        <v/>
      </c>
      <c r="H73">
        <f>IF('JobPlanner Data'!L74="","","JobPlanner Data'!L74)</f>
        <v/>
      </c>
      <c r="I73">
        <f>IF('JobPlanner Data'!H74="","","JobPlanner Data'!H74)</f>
        <v/>
      </c>
      <c r="J73">
        <f>IF('JobPlanner Data'!N74="","",IF(ISNUMBER('JobPlanner Data'!N74),TEXT('JobPlanner Data'!N74,"YYYY-MM-DD"),""))</f>
        <v/>
      </c>
      <c r="K73">
        <f>IF('JobPlanner Data'!Q74="","",IF(ISNUMBER('JobPlanner Data'!Q74),TEXT('JobPlanner Data'!Q74,"YYYY-MM-DD"),""))</f>
        <v/>
      </c>
      <c r="L73">
        <f>IF('JobPlanner Data'!I74&lt;&gt;"",IF(ISNUMBER('JobPlanner Data'!I74),TEXT('JobPlanner Data'!I74,"YYYY-MM-DD"),""),IF('JobPlanner Data'!T74&lt;&gt;"",IF(ISNUMBER('JobPlanner Data'!T74),TEXT('JobPlanner Data'!T74,"YYYY-MM-DD"),""),""))</f>
        <v/>
      </c>
      <c r="M73">
        <f>IF('JobPlanner Data'!S74="","",IF(ISNUMBER('JobPlanner Data'!S74),TEXT('JobPlanner Data'!S74,"YYYY-MM-DD"),""))</f>
        <v/>
      </c>
      <c r="N73">
        <f>IF('JobPlanner Data'!R74="","",IF(ISNUMBER('JobPlanner Data'!R74),TEXT('JobPlanner Data'!R74,"YYYY-MM-DD"),""))</f>
        <v/>
      </c>
      <c r="O73">
        <f>IF('JobPlanner Data'!U74="","",IF(ISNUMBER('JobPlanner Data'!U74),TEXT('JobPlanner Data'!U74,"YYYY-MM-DD"),""))</f>
        <v/>
      </c>
      <c r="P73">
        <f>IF('JobPlanner Data'!O74="","","JobPlanner Data'!O74)</f>
        <v/>
      </c>
      <c r="Q73">
        <f>IF('JobPlanner Data'!P74="","","JobPlanner Data'!P74)</f>
        <v/>
      </c>
    </row>
    <row r="74">
      <c r="A74">
        <f>IF('JobPlanner Data'!A75="","",IF(ISBLANK('JobPlanner Data'!A75),"",'JobPlanner Data'!A75))</f>
        <v/>
      </c>
      <c r="B74">
        <f>IF('JobPlanner Data'!B75="","",LOWER('JobPlanner Data'!B75))</f>
        <v/>
      </c>
      <c r="C74">
        <f>IF('JobPlanner Data'!D75&lt;&gt;"","JobPlanner Data'!D75,IF('JobPlanner Data'!F75&lt;&gt;"","JobPlanner Data'!F75,""))</f>
        <v/>
      </c>
      <c r="D74">
        <f>IF('JobPlanner Data'!J75="","",LOWER('JobPlanner Data'!J75))</f>
        <v/>
      </c>
      <c r="E74">
        <f>IF('JobPlanner Data'!C75="","",IFERROR(VLOOKUP('JobPlanner Data'!C75,'Company Lookup'!A:B,2,FALSE),"[NOT FOUND]"))</f>
        <v/>
      </c>
      <c r="F74" s="5">
        <f>IF('JobPlanner Data'!G75="","",VALUE(SUBSTITUTE(SUBSTITUTE('JobPlanner Data'!G75,"$",""),",","")))</f>
        <v/>
      </c>
      <c r="G74">
        <f>"amount"</f>
        <v/>
      </c>
      <c r="H74">
        <f>IF('JobPlanner Data'!L75="","","JobPlanner Data'!L75)</f>
        <v/>
      </c>
      <c r="I74">
        <f>IF('JobPlanner Data'!H75="","","JobPlanner Data'!H75)</f>
        <v/>
      </c>
      <c r="J74">
        <f>IF('JobPlanner Data'!N75="","",IF(ISNUMBER('JobPlanner Data'!N75),TEXT('JobPlanner Data'!N75,"YYYY-MM-DD"),""))</f>
        <v/>
      </c>
      <c r="K74">
        <f>IF('JobPlanner Data'!Q75="","",IF(ISNUMBER('JobPlanner Data'!Q75),TEXT('JobPlanner Data'!Q75,"YYYY-MM-DD"),""))</f>
        <v/>
      </c>
      <c r="L74">
        <f>IF('JobPlanner Data'!I75&lt;&gt;"",IF(ISNUMBER('JobPlanner Data'!I75),TEXT('JobPlanner Data'!I75,"YYYY-MM-DD"),""),IF('JobPlanner Data'!T75&lt;&gt;"",IF(ISNUMBER('JobPlanner Data'!T75),TEXT('JobPlanner Data'!T75,"YYYY-MM-DD"),""),""))</f>
        <v/>
      </c>
      <c r="M74">
        <f>IF('JobPlanner Data'!S75="","",IF(ISNUMBER('JobPlanner Data'!S75),TEXT('JobPlanner Data'!S75,"YYYY-MM-DD"),""))</f>
        <v/>
      </c>
      <c r="N74">
        <f>IF('JobPlanner Data'!R75="","",IF(ISNUMBER('JobPlanner Data'!R75),TEXT('JobPlanner Data'!R75,"YYYY-MM-DD"),""))</f>
        <v/>
      </c>
      <c r="O74">
        <f>IF('JobPlanner Data'!U75="","",IF(ISNUMBER('JobPlanner Data'!U75),TEXT('JobPlanner Data'!U75,"YYYY-MM-DD"),""))</f>
        <v/>
      </c>
      <c r="P74">
        <f>IF('JobPlanner Data'!O75="","","JobPlanner Data'!O75)</f>
        <v/>
      </c>
      <c r="Q74">
        <f>IF('JobPlanner Data'!P75="","","JobPlanner Data'!P75)</f>
        <v/>
      </c>
    </row>
    <row r="75">
      <c r="A75">
        <f>IF('JobPlanner Data'!A76="","",IF(ISBLANK('JobPlanner Data'!A76),"",'JobPlanner Data'!A76))</f>
        <v/>
      </c>
      <c r="B75">
        <f>IF('JobPlanner Data'!B76="","",LOWER('JobPlanner Data'!B76))</f>
        <v/>
      </c>
      <c r="C75">
        <f>IF('JobPlanner Data'!D76&lt;&gt;"","JobPlanner Data'!D76,IF('JobPlanner Data'!F76&lt;&gt;"","JobPlanner Data'!F76,""))</f>
        <v/>
      </c>
      <c r="D75">
        <f>IF('JobPlanner Data'!J76="","",LOWER('JobPlanner Data'!J76))</f>
        <v/>
      </c>
      <c r="E75">
        <f>IF('JobPlanner Data'!C76="","",IFERROR(VLOOKUP('JobPlanner Data'!C76,'Company Lookup'!A:B,2,FALSE),"[NOT FOUND]"))</f>
        <v/>
      </c>
      <c r="F75" s="5">
        <f>IF('JobPlanner Data'!G76="","",VALUE(SUBSTITUTE(SUBSTITUTE('JobPlanner Data'!G76,"$",""),",","")))</f>
        <v/>
      </c>
      <c r="G75">
        <f>"amount"</f>
        <v/>
      </c>
      <c r="H75">
        <f>IF('JobPlanner Data'!L76="","","JobPlanner Data'!L76)</f>
        <v/>
      </c>
      <c r="I75">
        <f>IF('JobPlanner Data'!H76="","","JobPlanner Data'!H76)</f>
        <v/>
      </c>
      <c r="J75">
        <f>IF('JobPlanner Data'!N76="","",IF(ISNUMBER('JobPlanner Data'!N76),TEXT('JobPlanner Data'!N76,"YYYY-MM-DD"),""))</f>
        <v/>
      </c>
      <c r="K75">
        <f>IF('JobPlanner Data'!Q76="","",IF(ISNUMBER('JobPlanner Data'!Q76),TEXT('JobPlanner Data'!Q76,"YYYY-MM-DD"),""))</f>
        <v/>
      </c>
      <c r="L75">
        <f>IF('JobPlanner Data'!I76&lt;&gt;"",IF(ISNUMBER('JobPlanner Data'!I76),TEXT('JobPlanner Data'!I76,"YYYY-MM-DD"),""),IF('JobPlanner Data'!T76&lt;&gt;"",IF(ISNUMBER('JobPlanner Data'!T76),TEXT('JobPlanner Data'!T76,"YYYY-MM-DD"),""),""))</f>
        <v/>
      </c>
      <c r="M75">
        <f>IF('JobPlanner Data'!S76="","",IF(ISNUMBER('JobPlanner Data'!S76),TEXT('JobPlanner Data'!S76,"YYYY-MM-DD"),""))</f>
        <v/>
      </c>
      <c r="N75">
        <f>IF('JobPlanner Data'!R76="","",IF(ISNUMBER('JobPlanner Data'!R76),TEXT('JobPlanner Data'!R76,"YYYY-MM-DD"),""))</f>
        <v/>
      </c>
      <c r="O75">
        <f>IF('JobPlanner Data'!U76="","",IF(ISNUMBER('JobPlanner Data'!U76),TEXT('JobPlanner Data'!U76,"YYYY-MM-DD"),""))</f>
        <v/>
      </c>
      <c r="P75">
        <f>IF('JobPlanner Data'!O76="","","JobPlanner Data'!O76)</f>
        <v/>
      </c>
      <c r="Q75">
        <f>IF('JobPlanner Data'!P76="","","JobPlanner Data'!P76)</f>
        <v/>
      </c>
    </row>
    <row r="76">
      <c r="A76">
        <f>IF('JobPlanner Data'!A77="","",IF(ISBLANK('JobPlanner Data'!A77),"",'JobPlanner Data'!A77))</f>
        <v/>
      </c>
      <c r="B76">
        <f>IF('JobPlanner Data'!B77="","",LOWER('JobPlanner Data'!B77))</f>
        <v/>
      </c>
      <c r="C76">
        <f>IF('JobPlanner Data'!D77&lt;&gt;"","JobPlanner Data'!D77,IF('JobPlanner Data'!F77&lt;&gt;"","JobPlanner Data'!F77,""))</f>
        <v/>
      </c>
      <c r="D76">
        <f>IF('JobPlanner Data'!J77="","",LOWER('JobPlanner Data'!J77))</f>
        <v/>
      </c>
      <c r="E76">
        <f>IF('JobPlanner Data'!C77="","",IFERROR(VLOOKUP('JobPlanner Data'!C77,'Company Lookup'!A:B,2,FALSE),"[NOT FOUND]"))</f>
        <v/>
      </c>
      <c r="F76" s="5">
        <f>IF('JobPlanner Data'!G77="","",VALUE(SUBSTITUTE(SUBSTITUTE('JobPlanner Data'!G77,"$",""),",","")))</f>
        <v/>
      </c>
      <c r="G76">
        <f>"amount"</f>
        <v/>
      </c>
      <c r="H76">
        <f>IF('JobPlanner Data'!L77="","","JobPlanner Data'!L77)</f>
        <v/>
      </c>
      <c r="I76">
        <f>IF('JobPlanner Data'!H77="","","JobPlanner Data'!H77)</f>
        <v/>
      </c>
      <c r="J76">
        <f>IF('JobPlanner Data'!N77="","",IF(ISNUMBER('JobPlanner Data'!N77),TEXT('JobPlanner Data'!N77,"YYYY-MM-DD"),""))</f>
        <v/>
      </c>
      <c r="K76">
        <f>IF('JobPlanner Data'!Q77="","",IF(ISNUMBER('JobPlanner Data'!Q77),TEXT('JobPlanner Data'!Q77,"YYYY-MM-DD"),""))</f>
        <v/>
      </c>
      <c r="L76">
        <f>IF('JobPlanner Data'!I77&lt;&gt;"",IF(ISNUMBER('JobPlanner Data'!I77),TEXT('JobPlanner Data'!I77,"YYYY-MM-DD"),""),IF('JobPlanner Data'!T77&lt;&gt;"",IF(ISNUMBER('JobPlanner Data'!T77),TEXT('JobPlanner Data'!T77,"YYYY-MM-DD"),""),""))</f>
        <v/>
      </c>
      <c r="M76">
        <f>IF('JobPlanner Data'!S77="","",IF(ISNUMBER('JobPlanner Data'!S77),TEXT('JobPlanner Data'!S77,"YYYY-MM-DD"),""))</f>
        <v/>
      </c>
      <c r="N76">
        <f>IF('JobPlanner Data'!R77="","",IF(ISNUMBER('JobPlanner Data'!R77),TEXT('JobPlanner Data'!R77,"YYYY-MM-DD"),""))</f>
        <v/>
      </c>
      <c r="O76">
        <f>IF('JobPlanner Data'!U77="","",IF(ISNUMBER('JobPlanner Data'!U77),TEXT('JobPlanner Data'!U77,"YYYY-MM-DD"),""))</f>
        <v/>
      </c>
      <c r="P76">
        <f>IF('JobPlanner Data'!O77="","","JobPlanner Data'!O77)</f>
        <v/>
      </c>
      <c r="Q76">
        <f>IF('JobPlanner Data'!P77="","","JobPlanner Data'!P77)</f>
        <v/>
      </c>
    </row>
    <row r="77">
      <c r="A77">
        <f>IF('JobPlanner Data'!A78="","",IF(ISBLANK('JobPlanner Data'!A78),"",'JobPlanner Data'!A78))</f>
        <v/>
      </c>
      <c r="B77">
        <f>IF('JobPlanner Data'!B78="","",LOWER('JobPlanner Data'!B78))</f>
        <v/>
      </c>
      <c r="C77">
        <f>IF('JobPlanner Data'!D78&lt;&gt;"","JobPlanner Data'!D78,IF('JobPlanner Data'!F78&lt;&gt;"","JobPlanner Data'!F78,""))</f>
        <v/>
      </c>
      <c r="D77">
        <f>IF('JobPlanner Data'!J78="","",LOWER('JobPlanner Data'!J78))</f>
        <v/>
      </c>
      <c r="E77">
        <f>IF('JobPlanner Data'!C78="","",IFERROR(VLOOKUP('JobPlanner Data'!C78,'Company Lookup'!A:B,2,FALSE),"[NOT FOUND]"))</f>
        <v/>
      </c>
      <c r="F77" s="5">
        <f>IF('JobPlanner Data'!G78="","",VALUE(SUBSTITUTE(SUBSTITUTE('JobPlanner Data'!G78,"$",""),",","")))</f>
        <v/>
      </c>
      <c r="G77">
        <f>"amount"</f>
        <v/>
      </c>
      <c r="H77">
        <f>IF('JobPlanner Data'!L78="","","JobPlanner Data'!L78)</f>
        <v/>
      </c>
      <c r="I77">
        <f>IF('JobPlanner Data'!H78="","","JobPlanner Data'!H78)</f>
        <v/>
      </c>
      <c r="J77">
        <f>IF('JobPlanner Data'!N78="","",IF(ISNUMBER('JobPlanner Data'!N78),TEXT('JobPlanner Data'!N78,"YYYY-MM-DD"),""))</f>
        <v/>
      </c>
      <c r="K77">
        <f>IF('JobPlanner Data'!Q78="","",IF(ISNUMBER('JobPlanner Data'!Q78),TEXT('JobPlanner Data'!Q78,"YYYY-MM-DD"),""))</f>
        <v/>
      </c>
      <c r="L77">
        <f>IF('JobPlanner Data'!I78&lt;&gt;"",IF(ISNUMBER('JobPlanner Data'!I78),TEXT('JobPlanner Data'!I78,"YYYY-MM-DD"),""),IF('JobPlanner Data'!T78&lt;&gt;"",IF(ISNUMBER('JobPlanner Data'!T78),TEXT('JobPlanner Data'!T78,"YYYY-MM-DD"),""),""))</f>
        <v/>
      </c>
      <c r="M77">
        <f>IF('JobPlanner Data'!S78="","",IF(ISNUMBER('JobPlanner Data'!S78),TEXT('JobPlanner Data'!S78,"YYYY-MM-DD"),""))</f>
        <v/>
      </c>
      <c r="N77">
        <f>IF('JobPlanner Data'!R78="","",IF(ISNUMBER('JobPlanner Data'!R78),TEXT('JobPlanner Data'!R78,"YYYY-MM-DD"),""))</f>
        <v/>
      </c>
      <c r="O77">
        <f>IF('JobPlanner Data'!U78="","",IF(ISNUMBER('JobPlanner Data'!U78),TEXT('JobPlanner Data'!U78,"YYYY-MM-DD"),""))</f>
        <v/>
      </c>
      <c r="P77">
        <f>IF('JobPlanner Data'!O78="","","JobPlanner Data'!O78)</f>
        <v/>
      </c>
      <c r="Q77">
        <f>IF('JobPlanner Data'!P78="","","JobPlanner Data'!P78)</f>
        <v/>
      </c>
    </row>
    <row r="78">
      <c r="A78">
        <f>IF('JobPlanner Data'!A79="","",IF(ISBLANK('JobPlanner Data'!A79),"",'JobPlanner Data'!A79))</f>
        <v/>
      </c>
      <c r="B78">
        <f>IF('JobPlanner Data'!B79="","",LOWER('JobPlanner Data'!B79))</f>
        <v/>
      </c>
      <c r="C78">
        <f>IF('JobPlanner Data'!D79&lt;&gt;"","JobPlanner Data'!D79,IF('JobPlanner Data'!F79&lt;&gt;"","JobPlanner Data'!F79,""))</f>
        <v/>
      </c>
      <c r="D78">
        <f>IF('JobPlanner Data'!J79="","",LOWER('JobPlanner Data'!J79))</f>
        <v/>
      </c>
      <c r="E78">
        <f>IF('JobPlanner Data'!C79="","",IFERROR(VLOOKUP('JobPlanner Data'!C79,'Company Lookup'!A:B,2,FALSE),"[NOT FOUND]"))</f>
        <v/>
      </c>
      <c r="F78" s="5">
        <f>IF('JobPlanner Data'!G79="","",VALUE(SUBSTITUTE(SUBSTITUTE('JobPlanner Data'!G79,"$",""),",","")))</f>
        <v/>
      </c>
      <c r="G78">
        <f>"amount"</f>
        <v/>
      </c>
      <c r="H78">
        <f>IF('JobPlanner Data'!L79="","","JobPlanner Data'!L79)</f>
        <v/>
      </c>
      <c r="I78">
        <f>IF('JobPlanner Data'!H79="","","JobPlanner Data'!H79)</f>
        <v/>
      </c>
      <c r="J78">
        <f>IF('JobPlanner Data'!N79="","",IF(ISNUMBER('JobPlanner Data'!N79),TEXT('JobPlanner Data'!N79,"YYYY-MM-DD"),""))</f>
        <v/>
      </c>
      <c r="K78">
        <f>IF('JobPlanner Data'!Q79="","",IF(ISNUMBER('JobPlanner Data'!Q79),TEXT('JobPlanner Data'!Q79,"YYYY-MM-DD"),""))</f>
        <v/>
      </c>
      <c r="L78">
        <f>IF('JobPlanner Data'!I79&lt;&gt;"",IF(ISNUMBER('JobPlanner Data'!I79),TEXT('JobPlanner Data'!I79,"YYYY-MM-DD"),""),IF('JobPlanner Data'!T79&lt;&gt;"",IF(ISNUMBER('JobPlanner Data'!T79),TEXT('JobPlanner Data'!T79,"YYYY-MM-DD"),""),""))</f>
        <v/>
      </c>
      <c r="M78">
        <f>IF('JobPlanner Data'!S79="","",IF(ISNUMBER('JobPlanner Data'!S79),TEXT('JobPlanner Data'!S79,"YYYY-MM-DD"),""))</f>
        <v/>
      </c>
      <c r="N78">
        <f>IF('JobPlanner Data'!R79="","",IF(ISNUMBER('JobPlanner Data'!R79),TEXT('JobPlanner Data'!R79,"YYYY-MM-DD"),""))</f>
        <v/>
      </c>
      <c r="O78">
        <f>IF('JobPlanner Data'!U79="","",IF(ISNUMBER('JobPlanner Data'!U79),TEXT('JobPlanner Data'!U79,"YYYY-MM-DD"),""))</f>
        <v/>
      </c>
      <c r="P78">
        <f>IF('JobPlanner Data'!O79="","","JobPlanner Data'!O79)</f>
        <v/>
      </c>
      <c r="Q78">
        <f>IF('JobPlanner Data'!P79="","","JobPlanner Data'!P79)</f>
        <v/>
      </c>
    </row>
    <row r="79">
      <c r="A79">
        <f>IF('JobPlanner Data'!A80="","",IF(ISBLANK('JobPlanner Data'!A80),"",'JobPlanner Data'!A80))</f>
        <v/>
      </c>
      <c r="B79">
        <f>IF('JobPlanner Data'!B80="","",LOWER('JobPlanner Data'!B80))</f>
        <v/>
      </c>
      <c r="C79">
        <f>IF('JobPlanner Data'!D80&lt;&gt;"","JobPlanner Data'!D80,IF('JobPlanner Data'!F80&lt;&gt;"","JobPlanner Data'!F80,""))</f>
        <v/>
      </c>
      <c r="D79">
        <f>IF('JobPlanner Data'!J80="","",LOWER('JobPlanner Data'!J80))</f>
        <v/>
      </c>
      <c r="E79">
        <f>IF('JobPlanner Data'!C80="","",IFERROR(VLOOKUP('JobPlanner Data'!C80,'Company Lookup'!A:B,2,FALSE),"[NOT FOUND]"))</f>
        <v/>
      </c>
      <c r="F79" s="5">
        <f>IF('JobPlanner Data'!G80="","",VALUE(SUBSTITUTE(SUBSTITUTE('JobPlanner Data'!G80,"$",""),",","")))</f>
        <v/>
      </c>
      <c r="G79">
        <f>"amount"</f>
        <v/>
      </c>
      <c r="H79">
        <f>IF('JobPlanner Data'!L80="","","JobPlanner Data'!L80)</f>
        <v/>
      </c>
      <c r="I79">
        <f>IF('JobPlanner Data'!H80="","","JobPlanner Data'!H80)</f>
        <v/>
      </c>
      <c r="J79">
        <f>IF('JobPlanner Data'!N80="","",IF(ISNUMBER('JobPlanner Data'!N80),TEXT('JobPlanner Data'!N80,"YYYY-MM-DD"),""))</f>
        <v/>
      </c>
      <c r="K79">
        <f>IF('JobPlanner Data'!Q80="","",IF(ISNUMBER('JobPlanner Data'!Q80),TEXT('JobPlanner Data'!Q80,"YYYY-MM-DD"),""))</f>
        <v/>
      </c>
      <c r="L79">
        <f>IF('JobPlanner Data'!I80&lt;&gt;"",IF(ISNUMBER('JobPlanner Data'!I80),TEXT('JobPlanner Data'!I80,"YYYY-MM-DD"),""),IF('JobPlanner Data'!T80&lt;&gt;"",IF(ISNUMBER('JobPlanner Data'!T80),TEXT('JobPlanner Data'!T80,"YYYY-MM-DD"),""),""))</f>
        <v/>
      </c>
      <c r="M79">
        <f>IF('JobPlanner Data'!S80="","",IF(ISNUMBER('JobPlanner Data'!S80),TEXT('JobPlanner Data'!S80,"YYYY-MM-DD"),""))</f>
        <v/>
      </c>
      <c r="N79">
        <f>IF('JobPlanner Data'!R80="","",IF(ISNUMBER('JobPlanner Data'!R80),TEXT('JobPlanner Data'!R80,"YYYY-MM-DD"),""))</f>
        <v/>
      </c>
      <c r="O79">
        <f>IF('JobPlanner Data'!U80="","",IF(ISNUMBER('JobPlanner Data'!U80),TEXT('JobPlanner Data'!U80,"YYYY-MM-DD"),""))</f>
        <v/>
      </c>
      <c r="P79">
        <f>IF('JobPlanner Data'!O80="","","JobPlanner Data'!O80)</f>
        <v/>
      </c>
      <c r="Q79">
        <f>IF('JobPlanner Data'!P80="","","JobPlanner Data'!P80)</f>
        <v/>
      </c>
    </row>
    <row r="80">
      <c r="A80">
        <f>IF('JobPlanner Data'!A81="","",IF(ISBLANK('JobPlanner Data'!A81),"",'JobPlanner Data'!A81))</f>
        <v/>
      </c>
      <c r="B80">
        <f>IF('JobPlanner Data'!B81="","",LOWER('JobPlanner Data'!B81))</f>
        <v/>
      </c>
      <c r="C80">
        <f>IF('JobPlanner Data'!D81&lt;&gt;"","JobPlanner Data'!D81,IF('JobPlanner Data'!F81&lt;&gt;"","JobPlanner Data'!F81,""))</f>
        <v/>
      </c>
      <c r="D80">
        <f>IF('JobPlanner Data'!J81="","",LOWER('JobPlanner Data'!J81))</f>
        <v/>
      </c>
      <c r="E80">
        <f>IF('JobPlanner Data'!C81="","",IFERROR(VLOOKUP('JobPlanner Data'!C81,'Company Lookup'!A:B,2,FALSE),"[NOT FOUND]"))</f>
        <v/>
      </c>
      <c r="F80" s="5">
        <f>IF('JobPlanner Data'!G81="","",VALUE(SUBSTITUTE(SUBSTITUTE('JobPlanner Data'!G81,"$",""),",","")))</f>
        <v/>
      </c>
      <c r="G80">
        <f>"amount"</f>
        <v/>
      </c>
      <c r="H80">
        <f>IF('JobPlanner Data'!L81="","","JobPlanner Data'!L81)</f>
        <v/>
      </c>
      <c r="I80">
        <f>IF('JobPlanner Data'!H81="","","JobPlanner Data'!H81)</f>
        <v/>
      </c>
      <c r="J80">
        <f>IF('JobPlanner Data'!N81="","",IF(ISNUMBER('JobPlanner Data'!N81),TEXT('JobPlanner Data'!N81,"YYYY-MM-DD"),""))</f>
        <v/>
      </c>
      <c r="K80">
        <f>IF('JobPlanner Data'!Q81="","",IF(ISNUMBER('JobPlanner Data'!Q81),TEXT('JobPlanner Data'!Q81,"YYYY-MM-DD"),""))</f>
        <v/>
      </c>
      <c r="L80">
        <f>IF('JobPlanner Data'!I81&lt;&gt;"",IF(ISNUMBER('JobPlanner Data'!I81),TEXT('JobPlanner Data'!I81,"YYYY-MM-DD"),""),IF('JobPlanner Data'!T81&lt;&gt;"",IF(ISNUMBER('JobPlanner Data'!T81),TEXT('JobPlanner Data'!T81,"YYYY-MM-DD"),""),""))</f>
        <v/>
      </c>
      <c r="M80">
        <f>IF('JobPlanner Data'!S81="","",IF(ISNUMBER('JobPlanner Data'!S81),TEXT('JobPlanner Data'!S81,"YYYY-MM-DD"),""))</f>
        <v/>
      </c>
      <c r="N80">
        <f>IF('JobPlanner Data'!R81="","",IF(ISNUMBER('JobPlanner Data'!R81),TEXT('JobPlanner Data'!R81,"YYYY-MM-DD"),""))</f>
        <v/>
      </c>
      <c r="O80">
        <f>IF('JobPlanner Data'!U81="","",IF(ISNUMBER('JobPlanner Data'!U81),TEXT('JobPlanner Data'!U81,"YYYY-MM-DD"),""))</f>
        <v/>
      </c>
      <c r="P80">
        <f>IF('JobPlanner Data'!O81="","","JobPlanner Data'!O81)</f>
        <v/>
      </c>
      <c r="Q80">
        <f>IF('JobPlanner Data'!P81="","","JobPlanner Data'!P81)</f>
        <v/>
      </c>
    </row>
    <row r="81">
      <c r="A81">
        <f>IF('JobPlanner Data'!A82="","",IF(ISBLANK('JobPlanner Data'!A82),"",'JobPlanner Data'!A82))</f>
        <v/>
      </c>
      <c r="B81">
        <f>IF('JobPlanner Data'!B82="","",LOWER('JobPlanner Data'!B82))</f>
        <v/>
      </c>
      <c r="C81">
        <f>IF('JobPlanner Data'!D82&lt;&gt;"","JobPlanner Data'!D82,IF('JobPlanner Data'!F82&lt;&gt;"","JobPlanner Data'!F82,""))</f>
        <v/>
      </c>
      <c r="D81">
        <f>IF('JobPlanner Data'!J82="","",LOWER('JobPlanner Data'!J82))</f>
        <v/>
      </c>
      <c r="E81">
        <f>IF('JobPlanner Data'!C82="","",IFERROR(VLOOKUP('JobPlanner Data'!C82,'Company Lookup'!A:B,2,FALSE),"[NOT FOUND]"))</f>
        <v/>
      </c>
      <c r="F81" s="5">
        <f>IF('JobPlanner Data'!G82="","",VALUE(SUBSTITUTE(SUBSTITUTE('JobPlanner Data'!G82,"$",""),",","")))</f>
        <v/>
      </c>
      <c r="G81">
        <f>"amount"</f>
        <v/>
      </c>
      <c r="H81">
        <f>IF('JobPlanner Data'!L82="","","JobPlanner Data'!L82)</f>
        <v/>
      </c>
      <c r="I81">
        <f>IF('JobPlanner Data'!H82="","","JobPlanner Data'!H82)</f>
        <v/>
      </c>
      <c r="J81">
        <f>IF('JobPlanner Data'!N82="","",IF(ISNUMBER('JobPlanner Data'!N82),TEXT('JobPlanner Data'!N82,"YYYY-MM-DD"),""))</f>
        <v/>
      </c>
      <c r="K81">
        <f>IF('JobPlanner Data'!Q82="","",IF(ISNUMBER('JobPlanner Data'!Q82),TEXT('JobPlanner Data'!Q82,"YYYY-MM-DD"),""))</f>
        <v/>
      </c>
      <c r="L81">
        <f>IF('JobPlanner Data'!I82&lt;&gt;"",IF(ISNUMBER('JobPlanner Data'!I82),TEXT('JobPlanner Data'!I82,"YYYY-MM-DD"),""),IF('JobPlanner Data'!T82&lt;&gt;"",IF(ISNUMBER('JobPlanner Data'!T82),TEXT('JobPlanner Data'!T82,"YYYY-MM-DD"),""),""))</f>
        <v/>
      </c>
      <c r="M81">
        <f>IF('JobPlanner Data'!S82="","",IF(ISNUMBER('JobPlanner Data'!S82),TEXT('JobPlanner Data'!S82,"YYYY-MM-DD"),""))</f>
        <v/>
      </c>
      <c r="N81">
        <f>IF('JobPlanner Data'!R82="","",IF(ISNUMBER('JobPlanner Data'!R82),TEXT('JobPlanner Data'!R82,"YYYY-MM-DD"),""))</f>
        <v/>
      </c>
      <c r="O81">
        <f>IF('JobPlanner Data'!U82="","",IF(ISNUMBER('JobPlanner Data'!U82),TEXT('JobPlanner Data'!U82,"YYYY-MM-DD"),""))</f>
        <v/>
      </c>
      <c r="P81">
        <f>IF('JobPlanner Data'!O82="","","JobPlanner Data'!O82)</f>
        <v/>
      </c>
      <c r="Q81">
        <f>IF('JobPlanner Data'!P82="","","JobPlanner Data'!P82)</f>
        <v/>
      </c>
    </row>
    <row r="82">
      <c r="A82">
        <f>IF('JobPlanner Data'!A83="","",IF(ISBLANK('JobPlanner Data'!A83),"",'JobPlanner Data'!A83))</f>
        <v/>
      </c>
      <c r="B82">
        <f>IF('JobPlanner Data'!B83="","",LOWER('JobPlanner Data'!B83))</f>
        <v/>
      </c>
      <c r="C82">
        <f>IF('JobPlanner Data'!D83&lt;&gt;"","JobPlanner Data'!D83,IF('JobPlanner Data'!F83&lt;&gt;"","JobPlanner Data'!F83,""))</f>
        <v/>
      </c>
      <c r="D82">
        <f>IF('JobPlanner Data'!J83="","",LOWER('JobPlanner Data'!J83))</f>
        <v/>
      </c>
      <c r="E82">
        <f>IF('JobPlanner Data'!C83="","",IFERROR(VLOOKUP('JobPlanner Data'!C83,'Company Lookup'!A:B,2,FALSE),"[NOT FOUND]"))</f>
        <v/>
      </c>
      <c r="F82" s="5">
        <f>IF('JobPlanner Data'!G83="","",VALUE(SUBSTITUTE(SUBSTITUTE('JobPlanner Data'!G83,"$",""),",","")))</f>
        <v/>
      </c>
      <c r="G82">
        <f>"amount"</f>
        <v/>
      </c>
      <c r="H82">
        <f>IF('JobPlanner Data'!L83="","","JobPlanner Data'!L83)</f>
        <v/>
      </c>
      <c r="I82">
        <f>IF('JobPlanner Data'!H83="","","JobPlanner Data'!H83)</f>
        <v/>
      </c>
      <c r="J82">
        <f>IF('JobPlanner Data'!N83="","",IF(ISNUMBER('JobPlanner Data'!N83),TEXT('JobPlanner Data'!N83,"YYYY-MM-DD"),""))</f>
        <v/>
      </c>
      <c r="K82">
        <f>IF('JobPlanner Data'!Q83="","",IF(ISNUMBER('JobPlanner Data'!Q83),TEXT('JobPlanner Data'!Q83,"YYYY-MM-DD"),""))</f>
        <v/>
      </c>
      <c r="L82">
        <f>IF('JobPlanner Data'!I83&lt;&gt;"",IF(ISNUMBER('JobPlanner Data'!I83),TEXT('JobPlanner Data'!I83,"YYYY-MM-DD"),""),IF('JobPlanner Data'!T83&lt;&gt;"",IF(ISNUMBER('JobPlanner Data'!T83),TEXT('JobPlanner Data'!T83,"YYYY-MM-DD"),""),""))</f>
        <v/>
      </c>
      <c r="M82">
        <f>IF('JobPlanner Data'!S83="","",IF(ISNUMBER('JobPlanner Data'!S83),TEXT('JobPlanner Data'!S83,"YYYY-MM-DD"),""))</f>
        <v/>
      </c>
      <c r="N82">
        <f>IF('JobPlanner Data'!R83="","",IF(ISNUMBER('JobPlanner Data'!R83),TEXT('JobPlanner Data'!R83,"YYYY-MM-DD"),""))</f>
        <v/>
      </c>
      <c r="O82">
        <f>IF('JobPlanner Data'!U83="","",IF(ISNUMBER('JobPlanner Data'!U83),TEXT('JobPlanner Data'!U83,"YYYY-MM-DD"),""))</f>
        <v/>
      </c>
      <c r="P82">
        <f>IF('JobPlanner Data'!O83="","","JobPlanner Data'!O83)</f>
        <v/>
      </c>
      <c r="Q82">
        <f>IF('JobPlanner Data'!P83="","","JobPlanner Data'!P83)</f>
        <v/>
      </c>
    </row>
    <row r="83">
      <c r="A83">
        <f>IF('JobPlanner Data'!A84="","",IF(ISBLANK('JobPlanner Data'!A84),"",'JobPlanner Data'!A84))</f>
        <v/>
      </c>
      <c r="B83">
        <f>IF('JobPlanner Data'!B84="","",LOWER('JobPlanner Data'!B84))</f>
        <v/>
      </c>
      <c r="C83">
        <f>IF('JobPlanner Data'!D84&lt;&gt;"","JobPlanner Data'!D84,IF('JobPlanner Data'!F84&lt;&gt;"","JobPlanner Data'!F84,""))</f>
        <v/>
      </c>
      <c r="D83">
        <f>IF('JobPlanner Data'!J84="","",LOWER('JobPlanner Data'!J84))</f>
        <v/>
      </c>
      <c r="E83">
        <f>IF('JobPlanner Data'!C84="","",IFERROR(VLOOKUP('JobPlanner Data'!C84,'Company Lookup'!A:B,2,FALSE),"[NOT FOUND]"))</f>
        <v/>
      </c>
      <c r="F83" s="5">
        <f>IF('JobPlanner Data'!G84="","",VALUE(SUBSTITUTE(SUBSTITUTE('JobPlanner Data'!G84,"$",""),",","")))</f>
        <v/>
      </c>
      <c r="G83">
        <f>"amount"</f>
        <v/>
      </c>
      <c r="H83">
        <f>IF('JobPlanner Data'!L84="","","JobPlanner Data'!L84)</f>
        <v/>
      </c>
      <c r="I83">
        <f>IF('JobPlanner Data'!H84="","","JobPlanner Data'!H84)</f>
        <v/>
      </c>
      <c r="J83">
        <f>IF('JobPlanner Data'!N84="","",IF(ISNUMBER('JobPlanner Data'!N84),TEXT('JobPlanner Data'!N84,"YYYY-MM-DD"),""))</f>
        <v/>
      </c>
      <c r="K83">
        <f>IF('JobPlanner Data'!Q84="","",IF(ISNUMBER('JobPlanner Data'!Q84),TEXT('JobPlanner Data'!Q84,"YYYY-MM-DD"),""))</f>
        <v/>
      </c>
      <c r="L83">
        <f>IF('JobPlanner Data'!I84&lt;&gt;"",IF(ISNUMBER('JobPlanner Data'!I84),TEXT('JobPlanner Data'!I84,"YYYY-MM-DD"),""),IF('JobPlanner Data'!T84&lt;&gt;"",IF(ISNUMBER('JobPlanner Data'!T84),TEXT('JobPlanner Data'!T84,"YYYY-MM-DD"),""),""))</f>
        <v/>
      </c>
      <c r="M83">
        <f>IF('JobPlanner Data'!S84="","",IF(ISNUMBER('JobPlanner Data'!S84),TEXT('JobPlanner Data'!S84,"YYYY-MM-DD"),""))</f>
        <v/>
      </c>
      <c r="N83">
        <f>IF('JobPlanner Data'!R84="","",IF(ISNUMBER('JobPlanner Data'!R84),TEXT('JobPlanner Data'!R84,"YYYY-MM-DD"),""))</f>
        <v/>
      </c>
      <c r="O83">
        <f>IF('JobPlanner Data'!U84="","",IF(ISNUMBER('JobPlanner Data'!U84),TEXT('JobPlanner Data'!U84,"YYYY-MM-DD"),""))</f>
        <v/>
      </c>
      <c r="P83">
        <f>IF('JobPlanner Data'!O84="","","JobPlanner Data'!O84)</f>
        <v/>
      </c>
      <c r="Q83">
        <f>IF('JobPlanner Data'!P84="","","JobPlanner Data'!P84)</f>
        <v/>
      </c>
    </row>
    <row r="84">
      <c r="A84">
        <f>IF('JobPlanner Data'!A85="","",IF(ISBLANK('JobPlanner Data'!A85),"",'JobPlanner Data'!A85))</f>
        <v/>
      </c>
      <c r="B84">
        <f>IF('JobPlanner Data'!B85="","",LOWER('JobPlanner Data'!B85))</f>
        <v/>
      </c>
      <c r="C84">
        <f>IF('JobPlanner Data'!D85&lt;&gt;"","JobPlanner Data'!D85,IF('JobPlanner Data'!F85&lt;&gt;"","JobPlanner Data'!F85,""))</f>
        <v/>
      </c>
      <c r="D84">
        <f>IF('JobPlanner Data'!J85="","",LOWER('JobPlanner Data'!J85))</f>
        <v/>
      </c>
      <c r="E84">
        <f>IF('JobPlanner Data'!C85="","",IFERROR(VLOOKUP('JobPlanner Data'!C85,'Company Lookup'!A:B,2,FALSE),"[NOT FOUND]"))</f>
        <v/>
      </c>
      <c r="F84" s="5">
        <f>IF('JobPlanner Data'!G85="","",VALUE(SUBSTITUTE(SUBSTITUTE('JobPlanner Data'!G85,"$",""),",","")))</f>
        <v/>
      </c>
      <c r="G84">
        <f>"amount"</f>
        <v/>
      </c>
      <c r="H84">
        <f>IF('JobPlanner Data'!L85="","","JobPlanner Data'!L85)</f>
        <v/>
      </c>
      <c r="I84">
        <f>IF('JobPlanner Data'!H85="","","JobPlanner Data'!H85)</f>
        <v/>
      </c>
      <c r="J84">
        <f>IF('JobPlanner Data'!N85="","",IF(ISNUMBER('JobPlanner Data'!N85),TEXT('JobPlanner Data'!N85,"YYYY-MM-DD"),""))</f>
        <v/>
      </c>
      <c r="K84">
        <f>IF('JobPlanner Data'!Q85="","",IF(ISNUMBER('JobPlanner Data'!Q85),TEXT('JobPlanner Data'!Q85,"YYYY-MM-DD"),""))</f>
        <v/>
      </c>
      <c r="L84">
        <f>IF('JobPlanner Data'!I85&lt;&gt;"",IF(ISNUMBER('JobPlanner Data'!I85),TEXT('JobPlanner Data'!I85,"YYYY-MM-DD"),""),IF('JobPlanner Data'!T85&lt;&gt;"",IF(ISNUMBER('JobPlanner Data'!T85),TEXT('JobPlanner Data'!T85,"YYYY-MM-DD"),""),""))</f>
        <v/>
      </c>
      <c r="M84">
        <f>IF('JobPlanner Data'!S85="","",IF(ISNUMBER('JobPlanner Data'!S85),TEXT('JobPlanner Data'!S85,"YYYY-MM-DD"),""))</f>
        <v/>
      </c>
      <c r="N84">
        <f>IF('JobPlanner Data'!R85="","",IF(ISNUMBER('JobPlanner Data'!R85),TEXT('JobPlanner Data'!R85,"YYYY-MM-DD"),""))</f>
        <v/>
      </c>
      <c r="O84">
        <f>IF('JobPlanner Data'!U85="","",IF(ISNUMBER('JobPlanner Data'!U85),TEXT('JobPlanner Data'!U85,"YYYY-MM-DD"),""))</f>
        <v/>
      </c>
      <c r="P84">
        <f>IF('JobPlanner Data'!O85="","","JobPlanner Data'!O85)</f>
        <v/>
      </c>
      <c r="Q84">
        <f>IF('JobPlanner Data'!P85="","","JobPlanner Data'!P85)</f>
        <v/>
      </c>
    </row>
    <row r="85">
      <c r="A85">
        <f>IF('JobPlanner Data'!A86="","",IF(ISBLANK('JobPlanner Data'!A86),"",'JobPlanner Data'!A86))</f>
        <v/>
      </c>
      <c r="B85">
        <f>IF('JobPlanner Data'!B86="","",LOWER('JobPlanner Data'!B86))</f>
        <v/>
      </c>
      <c r="C85">
        <f>IF('JobPlanner Data'!D86&lt;&gt;"","JobPlanner Data'!D86,IF('JobPlanner Data'!F86&lt;&gt;"","JobPlanner Data'!F86,""))</f>
        <v/>
      </c>
      <c r="D85">
        <f>IF('JobPlanner Data'!J86="","",LOWER('JobPlanner Data'!J86))</f>
        <v/>
      </c>
      <c r="E85">
        <f>IF('JobPlanner Data'!C86="","",IFERROR(VLOOKUP('JobPlanner Data'!C86,'Company Lookup'!A:B,2,FALSE),"[NOT FOUND]"))</f>
        <v/>
      </c>
      <c r="F85" s="5">
        <f>IF('JobPlanner Data'!G86="","",VALUE(SUBSTITUTE(SUBSTITUTE('JobPlanner Data'!G86,"$",""),",","")))</f>
        <v/>
      </c>
      <c r="G85">
        <f>"amount"</f>
        <v/>
      </c>
      <c r="H85">
        <f>IF('JobPlanner Data'!L86="","","JobPlanner Data'!L86)</f>
        <v/>
      </c>
      <c r="I85">
        <f>IF('JobPlanner Data'!H86="","","JobPlanner Data'!H86)</f>
        <v/>
      </c>
      <c r="J85">
        <f>IF('JobPlanner Data'!N86="","",IF(ISNUMBER('JobPlanner Data'!N86),TEXT('JobPlanner Data'!N86,"YYYY-MM-DD"),""))</f>
        <v/>
      </c>
      <c r="K85">
        <f>IF('JobPlanner Data'!Q86="","",IF(ISNUMBER('JobPlanner Data'!Q86),TEXT('JobPlanner Data'!Q86,"YYYY-MM-DD"),""))</f>
        <v/>
      </c>
      <c r="L85">
        <f>IF('JobPlanner Data'!I86&lt;&gt;"",IF(ISNUMBER('JobPlanner Data'!I86),TEXT('JobPlanner Data'!I86,"YYYY-MM-DD"),""),IF('JobPlanner Data'!T86&lt;&gt;"",IF(ISNUMBER('JobPlanner Data'!T86),TEXT('JobPlanner Data'!T86,"YYYY-MM-DD"),""),""))</f>
        <v/>
      </c>
      <c r="M85">
        <f>IF('JobPlanner Data'!S86="","",IF(ISNUMBER('JobPlanner Data'!S86),TEXT('JobPlanner Data'!S86,"YYYY-MM-DD"),""))</f>
        <v/>
      </c>
      <c r="N85">
        <f>IF('JobPlanner Data'!R86="","",IF(ISNUMBER('JobPlanner Data'!R86),TEXT('JobPlanner Data'!R86,"YYYY-MM-DD"),""))</f>
        <v/>
      </c>
      <c r="O85">
        <f>IF('JobPlanner Data'!U86="","",IF(ISNUMBER('JobPlanner Data'!U86),TEXT('JobPlanner Data'!U86,"YYYY-MM-DD"),""))</f>
        <v/>
      </c>
      <c r="P85">
        <f>IF('JobPlanner Data'!O86="","","JobPlanner Data'!O86)</f>
        <v/>
      </c>
      <c r="Q85">
        <f>IF('JobPlanner Data'!P86="","","JobPlanner Data'!P86)</f>
        <v/>
      </c>
    </row>
    <row r="86">
      <c r="A86">
        <f>IF('JobPlanner Data'!A87="","",IF(ISBLANK('JobPlanner Data'!A87),"",'JobPlanner Data'!A87))</f>
        <v/>
      </c>
      <c r="B86">
        <f>IF('JobPlanner Data'!B87="","",LOWER('JobPlanner Data'!B87))</f>
        <v/>
      </c>
      <c r="C86">
        <f>IF('JobPlanner Data'!D87&lt;&gt;"","JobPlanner Data'!D87,IF('JobPlanner Data'!F87&lt;&gt;"","JobPlanner Data'!F87,""))</f>
        <v/>
      </c>
      <c r="D86">
        <f>IF('JobPlanner Data'!J87="","",LOWER('JobPlanner Data'!J87))</f>
        <v/>
      </c>
      <c r="E86">
        <f>IF('JobPlanner Data'!C87="","",IFERROR(VLOOKUP('JobPlanner Data'!C87,'Company Lookup'!A:B,2,FALSE),"[NOT FOUND]"))</f>
        <v/>
      </c>
      <c r="F86" s="5">
        <f>IF('JobPlanner Data'!G87="","",VALUE(SUBSTITUTE(SUBSTITUTE('JobPlanner Data'!G87,"$",""),",","")))</f>
        <v/>
      </c>
      <c r="G86">
        <f>"amount"</f>
        <v/>
      </c>
      <c r="H86">
        <f>IF('JobPlanner Data'!L87="","","JobPlanner Data'!L87)</f>
        <v/>
      </c>
      <c r="I86">
        <f>IF('JobPlanner Data'!H87="","","JobPlanner Data'!H87)</f>
        <v/>
      </c>
      <c r="J86">
        <f>IF('JobPlanner Data'!N87="","",IF(ISNUMBER('JobPlanner Data'!N87),TEXT('JobPlanner Data'!N87,"YYYY-MM-DD"),""))</f>
        <v/>
      </c>
      <c r="K86">
        <f>IF('JobPlanner Data'!Q87="","",IF(ISNUMBER('JobPlanner Data'!Q87),TEXT('JobPlanner Data'!Q87,"YYYY-MM-DD"),""))</f>
        <v/>
      </c>
      <c r="L86">
        <f>IF('JobPlanner Data'!I87&lt;&gt;"",IF(ISNUMBER('JobPlanner Data'!I87),TEXT('JobPlanner Data'!I87,"YYYY-MM-DD"),""),IF('JobPlanner Data'!T87&lt;&gt;"",IF(ISNUMBER('JobPlanner Data'!T87),TEXT('JobPlanner Data'!T87,"YYYY-MM-DD"),""),""))</f>
        <v/>
      </c>
      <c r="M86">
        <f>IF('JobPlanner Data'!S87="","",IF(ISNUMBER('JobPlanner Data'!S87),TEXT('JobPlanner Data'!S87,"YYYY-MM-DD"),""))</f>
        <v/>
      </c>
      <c r="N86">
        <f>IF('JobPlanner Data'!R87="","",IF(ISNUMBER('JobPlanner Data'!R87),TEXT('JobPlanner Data'!R87,"YYYY-MM-DD"),""))</f>
        <v/>
      </c>
      <c r="O86">
        <f>IF('JobPlanner Data'!U87="","",IF(ISNUMBER('JobPlanner Data'!U87),TEXT('JobPlanner Data'!U87,"YYYY-MM-DD"),""))</f>
        <v/>
      </c>
      <c r="P86">
        <f>IF('JobPlanner Data'!O87="","","JobPlanner Data'!O87)</f>
        <v/>
      </c>
      <c r="Q86">
        <f>IF('JobPlanner Data'!P87="","","JobPlanner Data'!P87)</f>
        <v/>
      </c>
    </row>
    <row r="87">
      <c r="A87">
        <f>IF('JobPlanner Data'!A88="","",IF(ISBLANK('JobPlanner Data'!A88),"",'JobPlanner Data'!A88))</f>
        <v/>
      </c>
      <c r="B87">
        <f>IF('JobPlanner Data'!B88="","",LOWER('JobPlanner Data'!B88))</f>
        <v/>
      </c>
      <c r="C87">
        <f>IF('JobPlanner Data'!D88&lt;&gt;"","JobPlanner Data'!D88,IF('JobPlanner Data'!F88&lt;&gt;"","JobPlanner Data'!F88,""))</f>
        <v/>
      </c>
      <c r="D87">
        <f>IF('JobPlanner Data'!J88="","",LOWER('JobPlanner Data'!J88))</f>
        <v/>
      </c>
      <c r="E87">
        <f>IF('JobPlanner Data'!C88="","",IFERROR(VLOOKUP('JobPlanner Data'!C88,'Company Lookup'!A:B,2,FALSE),"[NOT FOUND]"))</f>
        <v/>
      </c>
      <c r="F87" s="5">
        <f>IF('JobPlanner Data'!G88="","",VALUE(SUBSTITUTE(SUBSTITUTE('JobPlanner Data'!G88,"$",""),",","")))</f>
        <v/>
      </c>
      <c r="G87">
        <f>"amount"</f>
        <v/>
      </c>
      <c r="H87">
        <f>IF('JobPlanner Data'!L88="","","JobPlanner Data'!L88)</f>
        <v/>
      </c>
      <c r="I87">
        <f>IF('JobPlanner Data'!H88="","","JobPlanner Data'!H88)</f>
        <v/>
      </c>
      <c r="J87">
        <f>IF('JobPlanner Data'!N88="","",IF(ISNUMBER('JobPlanner Data'!N88),TEXT('JobPlanner Data'!N88,"YYYY-MM-DD"),""))</f>
        <v/>
      </c>
      <c r="K87">
        <f>IF('JobPlanner Data'!Q88="","",IF(ISNUMBER('JobPlanner Data'!Q88),TEXT('JobPlanner Data'!Q88,"YYYY-MM-DD"),""))</f>
        <v/>
      </c>
      <c r="L87">
        <f>IF('JobPlanner Data'!I88&lt;&gt;"",IF(ISNUMBER('JobPlanner Data'!I88),TEXT('JobPlanner Data'!I88,"YYYY-MM-DD"),""),IF('JobPlanner Data'!T88&lt;&gt;"",IF(ISNUMBER('JobPlanner Data'!T88),TEXT('JobPlanner Data'!T88,"YYYY-MM-DD"),""),""))</f>
        <v/>
      </c>
      <c r="M87">
        <f>IF('JobPlanner Data'!S88="","",IF(ISNUMBER('JobPlanner Data'!S88),TEXT('JobPlanner Data'!S88,"YYYY-MM-DD"),""))</f>
        <v/>
      </c>
      <c r="N87">
        <f>IF('JobPlanner Data'!R88="","",IF(ISNUMBER('JobPlanner Data'!R88),TEXT('JobPlanner Data'!R88,"YYYY-MM-DD"),""))</f>
        <v/>
      </c>
      <c r="O87">
        <f>IF('JobPlanner Data'!U88="","",IF(ISNUMBER('JobPlanner Data'!U88),TEXT('JobPlanner Data'!U88,"YYYY-MM-DD"),""))</f>
        <v/>
      </c>
      <c r="P87">
        <f>IF('JobPlanner Data'!O88="","","JobPlanner Data'!O88)</f>
        <v/>
      </c>
      <c r="Q87">
        <f>IF('JobPlanner Data'!P88="","","JobPlanner Data'!P88)</f>
        <v/>
      </c>
    </row>
    <row r="88">
      <c r="A88">
        <f>IF('JobPlanner Data'!A89="","",IF(ISBLANK('JobPlanner Data'!A89),"",'JobPlanner Data'!A89))</f>
        <v/>
      </c>
      <c r="B88">
        <f>IF('JobPlanner Data'!B89="","",LOWER('JobPlanner Data'!B89))</f>
        <v/>
      </c>
      <c r="C88">
        <f>IF('JobPlanner Data'!D89&lt;&gt;"","JobPlanner Data'!D89,IF('JobPlanner Data'!F89&lt;&gt;"","JobPlanner Data'!F89,""))</f>
        <v/>
      </c>
      <c r="D88">
        <f>IF('JobPlanner Data'!J89="","",LOWER('JobPlanner Data'!J89))</f>
        <v/>
      </c>
      <c r="E88">
        <f>IF('JobPlanner Data'!C89="","",IFERROR(VLOOKUP('JobPlanner Data'!C89,'Company Lookup'!A:B,2,FALSE),"[NOT FOUND]"))</f>
        <v/>
      </c>
      <c r="F88" s="5">
        <f>IF('JobPlanner Data'!G89="","",VALUE(SUBSTITUTE(SUBSTITUTE('JobPlanner Data'!G89,"$",""),",","")))</f>
        <v/>
      </c>
      <c r="G88">
        <f>"amount"</f>
        <v/>
      </c>
      <c r="H88">
        <f>IF('JobPlanner Data'!L89="","","JobPlanner Data'!L89)</f>
        <v/>
      </c>
      <c r="I88">
        <f>IF('JobPlanner Data'!H89="","","JobPlanner Data'!H89)</f>
        <v/>
      </c>
      <c r="J88">
        <f>IF('JobPlanner Data'!N89="","",IF(ISNUMBER('JobPlanner Data'!N89),TEXT('JobPlanner Data'!N89,"YYYY-MM-DD"),""))</f>
        <v/>
      </c>
      <c r="K88">
        <f>IF('JobPlanner Data'!Q89="","",IF(ISNUMBER('JobPlanner Data'!Q89),TEXT('JobPlanner Data'!Q89,"YYYY-MM-DD"),""))</f>
        <v/>
      </c>
      <c r="L88">
        <f>IF('JobPlanner Data'!I89&lt;&gt;"",IF(ISNUMBER('JobPlanner Data'!I89),TEXT('JobPlanner Data'!I89,"YYYY-MM-DD"),""),IF('JobPlanner Data'!T89&lt;&gt;"",IF(ISNUMBER('JobPlanner Data'!T89),TEXT('JobPlanner Data'!T89,"YYYY-MM-DD"),""),""))</f>
        <v/>
      </c>
      <c r="M88">
        <f>IF('JobPlanner Data'!S89="","",IF(ISNUMBER('JobPlanner Data'!S89),TEXT('JobPlanner Data'!S89,"YYYY-MM-DD"),""))</f>
        <v/>
      </c>
      <c r="N88">
        <f>IF('JobPlanner Data'!R89="","",IF(ISNUMBER('JobPlanner Data'!R89),TEXT('JobPlanner Data'!R89,"YYYY-MM-DD"),""))</f>
        <v/>
      </c>
      <c r="O88">
        <f>IF('JobPlanner Data'!U89="","",IF(ISNUMBER('JobPlanner Data'!U89),TEXT('JobPlanner Data'!U89,"YYYY-MM-DD"),""))</f>
        <v/>
      </c>
      <c r="P88">
        <f>IF('JobPlanner Data'!O89="","","JobPlanner Data'!O89)</f>
        <v/>
      </c>
      <c r="Q88">
        <f>IF('JobPlanner Data'!P89="","","JobPlanner Data'!P89)</f>
        <v/>
      </c>
    </row>
    <row r="89">
      <c r="A89">
        <f>IF('JobPlanner Data'!A90="","",IF(ISBLANK('JobPlanner Data'!A90),"",'JobPlanner Data'!A90))</f>
        <v/>
      </c>
      <c r="B89">
        <f>IF('JobPlanner Data'!B90="","",LOWER('JobPlanner Data'!B90))</f>
        <v/>
      </c>
      <c r="C89">
        <f>IF('JobPlanner Data'!D90&lt;&gt;"","JobPlanner Data'!D90,IF('JobPlanner Data'!F90&lt;&gt;"","JobPlanner Data'!F90,""))</f>
        <v/>
      </c>
      <c r="D89">
        <f>IF('JobPlanner Data'!J90="","",LOWER('JobPlanner Data'!J90))</f>
        <v/>
      </c>
      <c r="E89">
        <f>IF('JobPlanner Data'!C90="","",IFERROR(VLOOKUP('JobPlanner Data'!C90,'Company Lookup'!A:B,2,FALSE),"[NOT FOUND]"))</f>
        <v/>
      </c>
      <c r="F89" s="5">
        <f>IF('JobPlanner Data'!G90="","",VALUE(SUBSTITUTE(SUBSTITUTE('JobPlanner Data'!G90,"$",""),",","")))</f>
        <v/>
      </c>
      <c r="G89">
        <f>"amount"</f>
        <v/>
      </c>
      <c r="H89">
        <f>IF('JobPlanner Data'!L90="","","JobPlanner Data'!L90)</f>
        <v/>
      </c>
      <c r="I89">
        <f>IF('JobPlanner Data'!H90="","","JobPlanner Data'!H90)</f>
        <v/>
      </c>
      <c r="J89">
        <f>IF('JobPlanner Data'!N90="","",IF(ISNUMBER('JobPlanner Data'!N90),TEXT('JobPlanner Data'!N90,"YYYY-MM-DD"),""))</f>
        <v/>
      </c>
      <c r="K89">
        <f>IF('JobPlanner Data'!Q90="","",IF(ISNUMBER('JobPlanner Data'!Q90),TEXT('JobPlanner Data'!Q90,"YYYY-MM-DD"),""))</f>
        <v/>
      </c>
      <c r="L89">
        <f>IF('JobPlanner Data'!I90&lt;&gt;"",IF(ISNUMBER('JobPlanner Data'!I90),TEXT('JobPlanner Data'!I90,"YYYY-MM-DD"),""),IF('JobPlanner Data'!T90&lt;&gt;"",IF(ISNUMBER('JobPlanner Data'!T90),TEXT('JobPlanner Data'!T90,"YYYY-MM-DD"),""),""))</f>
        <v/>
      </c>
      <c r="M89">
        <f>IF('JobPlanner Data'!S90="","",IF(ISNUMBER('JobPlanner Data'!S90),TEXT('JobPlanner Data'!S90,"YYYY-MM-DD"),""))</f>
        <v/>
      </c>
      <c r="N89">
        <f>IF('JobPlanner Data'!R90="","",IF(ISNUMBER('JobPlanner Data'!R90),TEXT('JobPlanner Data'!R90,"YYYY-MM-DD"),""))</f>
        <v/>
      </c>
      <c r="O89">
        <f>IF('JobPlanner Data'!U90="","",IF(ISNUMBER('JobPlanner Data'!U90),TEXT('JobPlanner Data'!U90,"YYYY-MM-DD"),""))</f>
        <v/>
      </c>
      <c r="P89">
        <f>IF('JobPlanner Data'!O90="","","JobPlanner Data'!O90)</f>
        <v/>
      </c>
      <c r="Q89">
        <f>IF('JobPlanner Data'!P90="","","JobPlanner Data'!P90)</f>
        <v/>
      </c>
    </row>
    <row r="90">
      <c r="A90">
        <f>IF('JobPlanner Data'!A91="","",IF(ISBLANK('JobPlanner Data'!A91),"",'JobPlanner Data'!A91))</f>
        <v/>
      </c>
      <c r="B90">
        <f>IF('JobPlanner Data'!B91="","",LOWER('JobPlanner Data'!B91))</f>
        <v/>
      </c>
      <c r="C90">
        <f>IF('JobPlanner Data'!D91&lt;&gt;"","JobPlanner Data'!D91,IF('JobPlanner Data'!F91&lt;&gt;"","JobPlanner Data'!F91,""))</f>
        <v/>
      </c>
      <c r="D90">
        <f>IF('JobPlanner Data'!J91="","",LOWER('JobPlanner Data'!J91))</f>
        <v/>
      </c>
      <c r="E90">
        <f>IF('JobPlanner Data'!C91="","",IFERROR(VLOOKUP('JobPlanner Data'!C91,'Company Lookup'!A:B,2,FALSE),"[NOT FOUND]"))</f>
        <v/>
      </c>
      <c r="F90" s="5">
        <f>IF('JobPlanner Data'!G91="","",VALUE(SUBSTITUTE(SUBSTITUTE('JobPlanner Data'!G91,"$",""),",","")))</f>
        <v/>
      </c>
      <c r="G90">
        <f>"amount"</f>
        <v/>
      </c>
      <c r="H90">
        <f>IF('JobPlanner Data'!L91="","","JobPlanner Data'!L91)</f>
        <v/>
      </c>
      <c r="I90">
        <f>IF('JobPlanner Data'!H91="","","JobPlanner Data'!H91)</f>
        <v/>
      </c>
      <c r="J90">
        <f>IF('JobPlanner Data'!N91="","",IF(ISNUMBER('JobPlanner Data'!N91),TEXT('JobPlanner Data'!N91,"YYYY-MM-DD"),""))</f>
        <v/>
      </c>
      <c r="K90">
        <f>IF('JobPlanner Data'!Q91="","",IF(ISNUMBER('JobPlanner Data'!Q91),TEXT('JobPlanner Data'!Q91,"YYYY-MM-DD"),""))</f>
        <v/>
      </c>
      <c r="L90">
        <f>IF('JobPlanner Data'!I91&lt;&gt;"",IF(ISNUMBER('JobPlanner Data'!I91),TEXT('JobPlanner Data'!I91,"YYYY-MM-DD"),""),IF('JobPlanner Data'!T91&lt;&gt;"",IF(ISNUMBER('JobPlanner Data'!T91),TEXT('JobPlanner Data'!T91,"YYYY-MM-DD"),""),""))</f>
        <v/>
      </c>
      <c r="M90">
        <f>IF('JobPlanner Data'!S91="","",IF(ISNUMBER('JobPlanner Data'!S91),TEXT('JobPlanner Data'!S91,"YYYY-MM-DD"),""))</f>
        <v/>
      </c>
      <c r="N90">
        <f>IF('JobPlanner Data'!R91="","",IF(ISNUMBER('JobPlanner Data'!R91),TEXT('JobPlanner Data'!R91,"YYYY-MM-DD"),""))</f>
        <v/>
      </c>
      <c r="O90">
        <f>IF('JobPlanner Data'!U91="","",IF(ISNUMBER('JobPlanner Data'!U91),TEXT('JobPlanner Data'!U91,"YYYY-MM-DD"),""))</f>
        <v/>
      </c>
      <c r="P90">
        <f>IF('JobPlanner Data'!O91="","","JobPlanner Data'!O91)</f>
        <v/>
      </c>
      <c r="Q90">
        <f>IF('JobPlanner Data'!P91="","","JobPlanner Data'!P91)</f>
        <v/>
      </c>
    </row>
    <row r="91">
      <c r="A91">
        <f>IF('JobPlanner Data'!A92="","",IF(ISBLANK('JobPlanner Data'!A92),"",'JobPlanner Data'!A92))</f>
        <v/>
      </c>
      <c r="B91">
        <f>IF('JobPlanner Data'!B92="","",LOWER('JobPlanner Data'!B92))</f>
        <v/>
      </c>
      <c r="C91">
        <f>IF('JobPlanner Data'!D92&lt;&gt;"","JobPlanner Data'!D92,IF('JobPlanner Data'!F92&lt;&gt;"","JobPlanner Data'!F92,""))</f>
        <v/>
      </c>
      <c r="D91">
        <f>IF('JobPlanner Data'!J92="","",LOWER('JobPlanner Data'!J92))</f>
        <v/>
      </c>
      <c r="E91">
        <f>IF('JobPlanner Data'!C92="","",IFERROR(VLOOKUP('JobPlanner Data'!C92,'Company Lookup'!A:B,2,FALSE),"[NOT FOUND]"))</f>
        <v/>
      </c>
      <c r="F91" s="5">
        <f>IF('JobPlanner Data'!G92="","",VALUE(SUBSTITUTE(SUBSTITUTE('JobPlanner Data'!G92,"$",""),",","")))</f>
        <v/>
      </c>
      <c r="G91">
        <f>"amount"</f>
        <v/>
      </c>
      <c r="H91">
        <f>IF('JobPlanner Data'!L92="","","JobPlanner Data'!L92)</f>
        <v/>
      </c>
      <c r="I91">
        <f>IF('JobPlanner Data'!H92="","","JobPlanner Data'!H92)</f>
        <v/>
      </c>
      <c r="J91">
        <f>IF('JobPlanner Data'!N92="","",IF(ISNUMBER('JobPlanner Data'!N92),TEXT('JobPlanner Data'!N92,"YYYY-MM-DD"),""))</f>
        <v/>
      </c>
      <c r="K91">
        <f>IF('JobPlanner Data'!Q92="","",IF(ISNUMBER('JobPlanner Data'!Q92),TEXT('JobPlanner Data'!Q92,"YYYY-MM-DD"),""))</f>
        <v/>
      </c>
      <c r="L91">
        <f>IF('JobPlanner Data'!I92&lt;&gt;"",IF(ISNUMBER('JobPlanner Data'!I92),TEXT('JobPlanner Data'!I92,"YYYY-MM-DD"),""),IF('JobPlanner Data'!T92&lt;&gt;"",IF(ISNUMBER('JobPlanner Data'!T92),TEXT('JobPlanner Data'!T92,"YYYY-MM-DD"),""),""))</f>
        <v/>
      </c>
      <c r="M91">
        <f>IF('JobPlanner Data'!S92="","",IF(ISNUMBER('JobPlanner Data'!S92),TEXT('JobPlanner Data'!S92,"YYYY-MM-DD"),""))</f>
        <v/>
      </c>
      <c r="N91">
        <f>IF('JobPlanner Data'!R92="","",IF(ISNUMBER('JobPlanner Data'!R92),TEXT('JobPlanner Data'!R92,"YYYY-MM-DD"),""))</f>
        <v/>
      </c>
      <c r="O91">
        <f>IF('JobPlanner Data'!U92="","",IF(ISNUMBER('JobPlanner Data'!U92),TEXT('JobPlanner Data'!U92,"YYYY-MM-DD"),""))</f>
        <v/>
      </c>
      <c r="P91">
        <f>IF('JobPlanner Data'!O92="","","JobPlanner Data'!O92)</f>
        <v/>
      </c>
      <c r="Q91">
        <f>IF('JobPlanner Data'!P92="","","JobPlanner Data'!P92)</f>
        <v/>
      </c>
    </row>
    <row r="92">
      <c r="A92">
        <f>IF('JobPlanner Data'!A93="","",IF(ISBLANK('JobPlanner Data'!A93),"",'JobPlanner Data'!A93))</f>
        <v/>
      </c>
      <c r="B92">
        <f>IF('JobPlanner Data'!B93="","",LOWER('JobPlanner Data'!B93))</f>
        <v/>
      </c>
      <c r="C92">
        <f>IF('JobPlanner Data'!D93&lt;&gt;"","JobPlanner Data'!D93,IF('JobPlanner Data'!F93&lt;&gt;"","JobPlanner Data'!F93,""))</f>
        <v/>
      </c>
      <c r="D92">
        <f>IF('JobPlanner Data'!J93="","",LOWER('JobPlanner Data'!J93))</f>
        <v/>
      </c>
      <c r="E92">
        <f>IF('JobPlanner Data'!C93="","",IFERROR(VLOOKUP('JobPlanner Data'!C93,'Company Lookup'!A:B,2,FALSE),"[NOT FOUND]"))</f>
        <v/>
      </c>
      <c r="F92" s="5">
        <f>IF('JobPlanner Data'!G93="","",VALUE(SUBSTITUTE(SUBSTITUTE('JobPlanner Data'!G93,"$",""),",","")))</f>
        <v/>
      </c>
      <c r="G92">
        <f>"amount"</f>
        <v/>
      </c>
      <c r="H92">
        <f>IF('JobPlanner Data'!L93="","","JobPlanner Data'!L93)</f>
        <v/>
      </c>
      <c r="I92">
        <f>IF('JobPlanner Data'!H93="","","JobPlanner Data'!H93)</f>
        <v/>
      </c>
      <c r="J92">
        <f>IF('JobPlanner Data'!N93="","",IF(ISNUMBER('JobPlanner Data'!N93),TEXT('JobPlanner Data'!N93,"YYYY-MM-DD"),""))</f>
        <v/>
      </c>
      <c r="K92">
        <f>IF('JobPlanner Data'!Q93="","",IF(ISNUMBER('JobPlanner Data'!Q93),TEXT('JobPlanner Data'!Q93,"YYYY-MM-DD"),""))</f>
        <v/>
      </c>
      <c r="L92">
        <f>IF('JobPlanner Data'!I93&lt;&gt;"",IF(ISNUMBER('JobPlanner Data'!I93),TEXT('JobPlanner Data'!I93,"YYYY-MM-DD"),""),IF('JobPlanner Data'!T93&lt;&gt;"",IF(ISNUMBER('JobPlanner Data'!T93),TEXT('JobPlanner Data'!T93,"YYYY-MM-DD"),""),""))</f>
        <v/>
      </c>
      <c r="M92">
        <f>IF('JobPlanner Data'!S93="","",IF(ISNUMBER('JobPlanner Data'!S93),TEXT('JobPlanner Data'!S93,"YYYY-MM-DD"),""))</f>
        <v/>
      </c>
      <c r="N92">
        <f>IF('JobPlanner Data'!R93="","",IF(ISNUMBER('JobPlanner Data'!R93),TEXT('JobPlanner Data'!R93,"YYYY-MM-DD"),""))</f>
        <v/>
      </c>
      <c r="O92">
        <f>IF('JobPlanner Data'!U93="","",IF(ISNUMBER('JobPlanner Data'!U93),TEXT('JobPlanner Data'!U93,"YYYY-MM-DD"),""))</f>
        <v/>
      </c>
      <c r="P92">
        <f>IF('JobPlanner Data'!O93="","","JobPlanner Data'!O93)</f>
        <v/>
      </c>
      <c r="Q92">
        <f>IF('JobPlanner Data'!P93="","","JobPlanner Data'!P93)</f>
        <v/>
      </c>
    </row>
    <row r="93">
      <c r="A93">
        <f>IF('JobPlanner Data'!A94="","",IF(ISBLANK('JobPlanner Data'!A94),"",'JobPlanner Data'!A94))</f>
        <v/>
      </c>
      <c r="B93">
        <f>IF('JobPlanner Data'!B94="","",LOWER('JobPlanner Data'!B94))</f>
        <v/>
      </c>
      <c r="C93">
        <f>IF('JobPlanner Data'!D94&lt;&gt;"","JobPlanner Data'!D94,IF('JobPlanner Data'!F94&lt;&gt;"","JobPlanner Data'!F94,""))</f>
        <v/>
      </c>
      <c r="D93">
        <f>IF('JobPlanner Data'!J94="","",LOWER('JobPlanner Data'!J94))</f>
        <v/>
      </c>
      <c r="E93">
        <f>IF('JobPlanner Data'!C94="","",IFERROR(VLOOKUP('JobPlanner Data'!C94,'Company Lookup'!A:B,2,FALSE),"[NOT FOUND]"))</f>
        <v/>
      </c>
      <c r="F93" s="5">
        <f>IF('JobPlanner Data'!G94="","",VALUE(SUBSTITUTE(SUBSTITUTE('JobPlanner Data'!G94,"$",""),",","")))</f>
        <v/>
      </c>
      <c r="G93">
        <f>"amount"</f>
        <v/>
      </c>
      <c r="H93">
        <f>IF('JobPlanner Data'!L94="","","JobPlanner Data'!L94)</f>
        <v/>
      </c>
      <c r="I93">
        <f>IF('JobPlanner Data'!H94="","","JobPlanner Data'!H94)</f>
        <v/>
      </c>
      <c r="J93">
        <f>IF('JobPlanner Data'!N94="","",IF(ISNUMBER('JobPlanner Data'!N94),TEXT('JobPlanner Data'!N94,"YYYY-MM-DD"),""))</f>
        <v/>
      </c>
      <c r="K93">
        <f>IF('JobPlanner Data'!Q94="","",IF(ISNUMBER('JobPlanner Data'!Q94),TEXT('JobPlanner Data'!Q94,"YYYY-MM-DD"),""))</f>
        <v/>
      </c>
      <c r="L93">
        <f>IF('JobPlanner Data'!I94&lt;&gt;"",IF(ISNUMBER('JobPlanner Data'!I94),TEXT('JobPlanner Data'!I94,"YYYY-MM-DD"),""),IF('JobPlanner Data'!T94&lt;&gt;"",IF(ISNUMBER('JobPlanner Data'!T94),TEXT('JobPlanner Data'!T94,"YYYY-MM-DD"),""),""))</f>
        <v/>
      </c>
      <c r="M93">
        <f>IF('JobPlanner Data'!S94="","",IF(ISNUMBER('JobPlanner Data'!S94),TEXT('JobPlanner Data'!S94,"YYYY-MM-DD"),""))</f>
        <v/>
      </c>
      <c r="N93">
        <f>IF('JobPlanner Data'!R94="","",IF(ISNUMBER('JobPlanner Data'!R94),TEXT('JobPlanner Data'!R94,"YYYY-MM-DD"),""))</f>
        <v/>
      </c>
      <c r="O93">
        <f>IF('JobPlanner Data'!U94="","",IF(ISNUMBER('JobPlanner Data'!U94),TEXT('JobPlanner Data'!U94,"YYYY-MM-DD"),""))</f>
        <v/>
      </c>
      <c r="P93">
        <f>IF('JobPlanner Data'!O94="","","JobPlanner Data'!O94)</f>
        <v/>
      </c>
      <c r="Q93">
        <f>IF('JobPlanner Data'!P94="","","JobPlanner Data'!P94)</f>
        <v/>
      </c>
    </row>
    <row r="94">
      <c r="A94">
        <f>IF('JobPlanner Data'!A95="","",IF(ISBLANK('JobPlanner Data'!A95),"",'JobPlanner Data'!A95))</f>
        <v/>
      </c>
      <c r="B94">
        <f>IF('JobPlanner Data'!B95="","",LOWER('JobPlanner Data'!B95))</f>
        <v/>
      </c>
      <c r="C94">
        <f>IF('JobPlanner Data'!D95&lt;&gt;"","JobPlanner Data'!D95,IF('JobPlanner Data'!F95&lt;&gt;"","JobPlanner Data'!F95,""))</f>
        <v/>
      </c>
      <c r="D94">
        <f>IF('JobPlanner Data'!J95="","",LOWER('JobPlanner Data'!J95))</f>
        <v/>
      </c>
      <c r="E94">
        <f>IF('JobPlanner Data'!C95="","",IFERROR(VLOOKUP('JobPlanner Data'!C95,'Company Lookup'!A:B,2,FALSE),"[NOT FOUND]"))</f>
        <v/>
      </c>
      <c r="F94" s="5">
        <f>IF('JobPlanner Data'!G95="","",VALUE(SUBSTITUTE(SUBSTITUTE('JobPlanner Data'!G95,"$",""),",","")))</f>
        <v/>
      </c>
      <c r="G94">
        <f>"amount"</f>
        <v/>
      </c>
      <c r="H94">
        <f>IF('JobPlanner Data'!L95="","","JobPlanner Data'!L95)</f>
        <v/>
      </c>
      <c r="I94">
        <f>IF('JobPlanner Data'!H95="","","JobPlanner Data'!H95)</f>
        <v/>
      </c>
      <c r="J94">
        <f>IF('JobPlanner Data'!N95="","",IF(ISNUMBER('JobPlanner Data'!N95),TEXT('JobPlanner Data'!N95,"YYYY-MM-DD"),""))</f>
        <v/>
      </c>
      <c r="K94">
        <f>IF('JobPlanner Data'!Q95="","",IF(ISNUMBER('JobPlanner Data'!Q95),TEXT('JobPlanner Data'!Q95,"YYYY-MM-DD"),""))</f>
        <v/>
      </c>
      <c r="L94">
        <f>IF('JobPlanner Data'!I95&lt;&gt;"",IF(ISNUMBER('JobPlanner Data'!I95),TEXT('JobPlanner Data'!I95,"YYYY-MM-DD"),""),IF('JobPlanner Data'!T95&lt;&gt;"",IF(ISNUMBER('JobPlanner Data'!T95),TEXT('JobPlanner Data'!T95,"YYYY-MM-DD"),""),""))</f>
        <v/>
      </c>
      <c r="M94">
        <f>IF('JobPlanner Data'!S95="","",IF(ISNUMBER('JobPlanner Data'!S95),TEXT('JobPlanner Data'!S95,"YYYY-MM-DD"),""))</f>
        <v/>
      </c>
      <c r="N94">
        <f>IF('JobPlanner Data'!R95="","",IF(ISNUMBER('JobPlanner Data'!R95),TEXT('JobPlanner Data'!R95,"YYYY-MM-DD"),""))</f>
        <v/>
      </c>
      <c r="O94">
        <f>IF('JobPlanner Data'!U95="","",IF(ISNUMBER('JobPlanner Data'!U95),TEXT('JobPlanner Data'!U95,"YYYY-MM-DD"),""))</f>
        <v/>
      </c>
      <c r="P94">
        <f>IF('JobPlanner Data'!O95="","","JobPlanner Data'!O95)</f>
        <v/>
      </c>
      <c r="Q94">
        <f>IF('JobPlanner Data'!P95="","","JobPlanner Data'!P95)</f>
        <v/>
      </c>
    </row>
    <row r="95">
      <c r="A95">
        <f>IF('JobPlanner Data'!A96="","",IF(ISBLANK('JobPlanner Data'!A96),"",'JobPlanner Data'!A96))</f>
        <v/>
      </c>
      <c r="B95">
        <f>IF('JobPlanner Data'!B96="","",LOWER('JobPlanner Data'!B96))</f>
        <v/>
      </c>
      <c r="C95">
        <f>IF('JobPlanner Data'!D96&lt;&gt;"","JobPlanner Data'!D96,IF('JobPlanner Data'!F96&lt;&gt;"","JobPlanner Data'!F96,""))</f>
        <v/>
      </c>
      <c r="D95">
        <f>IF('JobPlanner Data'!J96="","",LOWER('JobPlanner Data'!J96))</f>
        <v/>
      </c>
      <c r="E95">
        <f>IF('JobPlanner Data'!C96="","",IFERROR(VLOOKUP('JobPlanner Data'!C96,'Company Lookup'!A:B,2,FALSE),"[NOT FOUND]"))</f>
        <v/>
      </c>
      <c r="F95" s="5">
        <f>IF('JobPlanner Data'!G96="","",VALUE(SUBSTITUTE(SUBSTITUTE('JobPlanner Data'!G96,"$",""),",","")))</f>
        <v/>
      </c>
      <c r="G95">
        <f>"amount"</f>
        <v/>
      </c>
      <c r="H95">
        <f>IF('JobPlanner Data'!L96="","","JobPlanner Data'!L96)</f>
        <v/>
      </c>
      <c r="I95">
        <f>IF('JobPlanner Data'!H96="","","JobPlanner Data'!H96)</f>
        <v/>
      </c>
      <c r="J95">
        <f>IF('JobPlanner Data'!N96="","",IF(ISNUMBER('JobPlanner Data'!N96),TEXT('JobPlanner Data'!N96,"YYYY-MM-DD"),""))</f>
        <v/>
      </c>
      <c r="K95">
        <f>IF('JobPlanner Data'!Q96="","",IF(ISNUMBER('JobPlanner Data'!Q96),TEXT('JobPlanner Data'!Q96,"YYYY-MM-DD"),""))</f>
        <v/>
      </c>
      <c r="L95">
        <f>IF('JobPlanner Data'!I96&lt;&gt;"",IF(ISNUMBER('JobPlanner Data'!I96),TEXT('JobPlanner Data'!I96,"YYYY-MM-DD"),""),IF('JobPlanner Data'!T96&lt;&gt;"",IF(ISNUMBER('JobPlanner Data'!T96),TEXT('JobPlanner Data'!T96,"YYYY-MM-DD"),""),""))</f>
        <v/>
      </c>
      <c r="M95">
        <f>IF('JobPlanner Data'!S96="","",IF(ISNUMBER('JobPlanner Data'!S96),TEXT('JobPlanner Data'!S96,"YYYY-MM-DD"),""))</f>
        <v/>
      </c>
      <c r="N95">
        <f>IF('JobPlanner Data'!R96="","",IF(ISNUMBER('JobPlanner Data'!R96),TEXT('JobPlanner Data'!R96,"YYYY-MM-DD"),""))</f>
        <v/>
      </c>
      <c r="O95">
        <f>IF('JobPlanner Data'!U96="","",IF(ISNUMBER('JobPlanner Data'!U96),TEXT('JobPlanner Data'!U96,"YYYY-MM-DD"),""))</f>
        <v/>
      </c>
      <c r="P95">
        <f>IF('JobPlanner Data'!O96="","","JobPlanner Data'!O96)</f>
        <v/>
      </c>
      <c r="Q95">
        <f>IF('JobPlanner Data'!P96="","","JobPlanner Data'!P96)</f>
        <v/>
      </c>
    </row>
    <row r="96">
      <c r="A96">
        <f>IF('JobPlanner Data'!A97="","",IF(ISBLANK('JobPlanner Data'!A97),"",'JobPlanner Data'!A97))</f>
        <v/>
      </c>
      <c r="B96">
        <f>IF('JobPlanner Data'!B97="","",LOWER('JobPlanner Data'!B97))</f>
        <v/>
      </c>
      <c r="C96">
        <f>IF('JobPlanner Data'!D97&lt;&gt;"","JobPlanner Data'!D97,IF('JobPlanner Data'!F97&lt;&gt;"","JobPlanner Data'!F97,""))</f>
        <v/>
      </c>
      <c r="D96">
        <f>IF('JobPlanner Data'!J97="","",LOWER('JobPlanner Data'!J97))</f>
        <v/>
      </c>
      <c r="E96">
        <f>IF('JobPlanner Data'!C97="","",IFERROR(VLOOKUP('JobPlanner Data'!C97,'Company Lookup'!A:B,2,FALSE),"[NOT FOUND]"))</f>
        <v/>
      </c>
      <c r="F96" s="5">
        <f>IF('JobPlanner Data'!G97="","",VALUE(SUBSTITUTE(SUBSTITUTE('JobPlanner Data'!G97,"$",""),",","")))</f>
        <v/>
      </c>
      <c r="G96">
        <f>"amount"</f>
        <v/>
      </c>
      <c r="H96">
        <f>IF('JobPlanner Data'!L97="","","JobPlanner Data'!L97)</f>
        <v/>
      </c>
      <c r="I96">
        <f>IF('JobPlanner Data'!H97="","","JobPlanner Data'!H97)</f>
        <v/>
      </c>
      <c r="J96">
        <f>IF('JobPlanner Data'!N97="","",IF(ISNUMBER('JobPlanner Data'!N97),TEXT('JobPlanner Data'!N97,"YYYY-MM-DD"),""))</f>
        <v/>
      </c>
      <c r="K96">
        <f>IF('JobPlanner Data'!Q97="","",IF(ISNUMBER('JobPlanner Data'!Q97),TEXT('JobPlanner Data'!Q97,"YYYY-MM-DD"),""))</f>
        <v/>
      </c>
      <c r="L96">
        <f>IF('JobPlanner Data'!I97&lt;&gt;"",IF(ISNUMBER('JobPlanner Data'!I97),TEXT('JobPlanner Data'!I97,"YYYY-MM-DD"),""),IF('JobPlanner Data'!T97&lt;&gt;"",IF(ISNUMBER('JobPlanner Data'!T97),TEXT('JobPlanner Data'!T97,"YYYY-MM-DD"),""),""))</f>
        <v/>
      </c>
      <c r="M96">
        <f>IF('JobPlanner Data'!S97="","",IF(ISNUMBER('JobPlanner Data'!S97),TEXT('JobPlanner Data'!S97,"YYYY-MM-DD"),""))</f>
        <v/>
      </c>
      <c r="N96">
        <f>IF('JobPlanner Data'!R97="","",IF(ISNUMBER('JobPlanner Data'!R97),TEXT('JobPlanner Data'!R97,"YYYY-MM-DD"),""))</f>
        <v/>
      </c>
      <c r="O96">
        <f>IF('JobPlanner Data'!U97="","",IF(ISNUMBER('JobPlanner Data'!U97),TEXT('JobPlanner Data'!U97,"YYYY-MM-DD"),""))</f>
        <v/>
      </c>
      <c r="P96">
        <f>IF('JobPlanner Data'!O97="","","JobPlanner Data'!O97)</f>
        <v/>
      </c>
      <c r="Q96">
        <f>IF('JobPlanner Data'!P97="","","JobPlanner Data'!P97)</f>
        <v/>
      </c>
    </row>
    <row r="97">
      <c r="A97">
        <f>IF('JobPlanner Data'!A98="","",IF(ISBLANK('JobPlanner Data'!A98),"",'JobPlanner Data'!A98))</f>
        <v/>
      </c>
      <c r="B97">
        <f>IF('JobPlanner Data'!B98="","",LOWER('JobPlanner Data'!B98))</f>
        <v/>
      </c>
      <c r="C97">
        <f>IF('JobPlanner Data'!D98&lt;&gt;"","JobPlanner Data'!D98,IF('JobPlanner Data'!F98&lt;&gt;"","JobPlanner Data'!F98,""))</f>
        <v/>
      </c>
      <c r="D97">
        <f>IF('JobPlanner Data'!J98="","",LOWER('JobPlanner Data'!J98))</f>
        <v/>
      </c>
      <c r="E97">
        <f>IF('JobPlanner Data'!C98="","",IFERROR(VLOOKUP('JobPlanner Data'!C98,'Company Lookup'!A:B,2,FALSE),"[NOT FOUND]"))</f>
        <v/>
      </c>
      <c r="F97" s="5">
        <f>IF('JobPlanner Data'!G98="","",VALUE(SUBSTITUTE(SUBSTITUTE('JobPlanner Data'!G98,"$",""),",","")))</f>
        <v/>
      </c>
      <c r="G97">
        <f>"amount"</f>
        <v/>
      </c>
      <c r="H97">
        <f>IF('JobPlanner Data'!L98="","","JobPlanner Data'!L98)</f>
        <v/>
      </c>
      <c r="I97">
        <f>IF('JobPlanner Data'!H98="","","JobPlanner Data'!H98)</f>
        <v/>
      </c>
      <c r="J97">
        <f>IF('JobPlanner Data'!N98="","",IF(ISNUMBER('JobPlanner Data'!N98),TEXT('JobPlanner Data'!N98,"YYYY-MM-DD"),""))</f>
        <v/>
      </c>
      <c r="K97">
        <f>IF('JobPlanner Data'!Q98="","",IF(ISNUMBER('JobPlanner Data'!Q98),TEXT('JobPlanner Data'!Q98,"YYYY-MM-DD"),""))</f>
        <v/>
      </c>
      <c r="L97">
        <f>IF('JobPlanner Data'!I98&lt;&gt;"",IF(ISNUMBER('JobPlanner Data'!I98),TEXT('JobPlanner Data'!I98,"YYYY-MM-DD"),""),IF('JobPlanner Data'!T98&lt;&gt;"",IF(ISNUMBER('JobPlanner Data'!T98),TEXT('JobPlanner Data'!T98,"YYYY-MM-DD"),""),""))</f>
        <v/>
      </c>
      <c r="M97">
        <f>IF('JobPlanner Data'!S98="","",IF(ISNUMBER('JobPlanner Data'!S98),TEXT('JobPlanner Data'!S98,"YYYY-MM-DD"),""))</f>
        <v/>
      </c>
      <c r="N97">
        <f>IF('JobPlanner Data'!R98="","",IF(ISNUMBER('JobPlanner Data'!R98),TEXT('JobPlanner Data'!R98,"YYYY-MM-DD"),""))</f>
        <v/>
      </c>
      <c r="O97">
        <f>IF('JobPlanner Data'!U98="","",IF(ISNUMBER('JobPlanner Data'!U98),TEXT('JobPlanner Data'!U98,"YYYY-MM-DD"),""))</f>
        <v/>
      </c>
      <c r="P97">
        <f>IF('JobPlanner Data'!O98="","","JobPlanner Data'!O98)</f>
        <v/>
      </c>
      <c r="Q97">
        <f>IF('JobPlanner Data'!P98="","","JobPlanner Data'!P98)</f>
        <v/>
      </c>
    </row>
    <row r="98">
      <c r="A98">
        <f>IF('JobPlanner Data'!A99="","",IF(ISBLANK('JobPlanner Data'!A99),"",'JobPlanner Data'!A99))</f>
        <v/>
      </c>
      <c r="B98">
        <f>IF('JobPlanner Data'!B99="","",LOWER('JobPlanner Data'!B99))</f>
        <v/>
      </c>
      <c r="C98">
        <f>IF('JobPlanner Data'!D99&lt;&gt;"","JobPlanner Data'!D99,IF('JobPlanner Data'!F99&lt;&gt;"","JobPlanner Data'!F99,""))</f>
        <v/>
      </c>
      <c r="D98">
        <f>IF('JobPlanner Data'!J99="","",LOWER('JobPlanner Data'!J99))</f>
        <v/>
      </c>
      <c r="E98">
        <f>IF('JobPlanner Data'!C99="","",IFERROR(VLOOKUP('JobPlanner Data'!C99,'Company Lookup'!A:B,2,FALSE),"[NOT FOUND]"))</f>
        <v/>
      </c>
      <c r="F98" s="5">
        <f>IF('JobPlanner Data'!G99="","",VALUE(SUBSTITUTE(SUBSTITUTE('JobPlanner Data'!G99,"$",""),",","")))</f>
        <v/>
      </c>
      <c r="G98">
        <f>"amount"</f>
        <v/>
      </c>
      <c r="H98">
        <f>IF('JobPlanner Data'!L99="","","JobPlanner Data'!L99)</f>
        <v/>
      </c>
      <c r="I98">
        <f>IF('JobPlanner Data'!H99="","","JobPlanner Data'!H99)</f>
        <v/>
      </c>
      <c r="J98">
        <f>IF('JobPlanner Data'!N99="","",IF(ISNUMBER('JobPlanner Data'!N99),TEXT('JobPlanner Data'!N99,"YYYY-MM-DD"),""))</f>
        <v/>
      </c>
      <c r="K98">
        <f>IF('JobPlanner Data'!Q99="","",IF(ISNUMBER('JobPlanner Data'!Q99),TEXT('JobPlanner Data'!Q99,"YYYY-MM-DD"),""))</f>
        <v/>
      </c>
      <c r="L98">
        <f>IF('JobPlanner Data'!I99&lt;&gt;"",IF(ISNUMBER('JobPlanner Data'!I99),TEXT('JobPlanner Data'!I99,"YYYY-MM-DD"),""),IF('JobPlanner Data'!T99&lt;&gt;"",IF(ISNUMBER('JobPlanner Data'!T99),TEXT('JobPlanner Data'!T99,"YYYY-MM-DD"),""),""))</f>
        <v/>
      </c>
      <c r="M98">
        <f>IF('JobPlanner Data'!S99="","",IF(ISNUMBER('JobPlanner Data'!S99),TEXT('JobPlanner Data'!S99,"YYYY-MM-DD"),""))</f>
        <v/>
      </c>
      <c r="N98">
        <f>IF('JobPlanner Data'!R99="","",IF(ISNUMBER('JobPlanner Data'!R99),TEXT('JobPlanner Data'!R99,"YYYY-MM-DD"),""))</f>
        <v/>
      </c>
      <c r="O98">
        <f>IF('JobPlanner Data'!U99="","",IF(ISNUMBER('JobPlanner Data'!U99),TEXT('JobPlanner Data'!U99,"YYYY-MM-DD"),""))</f>
        <v/>
      </c>
      <c r="P98">
        <f>IF('JobPlanner Data'!O99="","","JobPlanner Data'!O99)</f>
        <v/>
      </c>
      <c r="Q98">
        <f>IF('JobPlanner Data'!P99="","","JobPlanner Data'!P99)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4" t="inlineStr">
        <is>
          <t>Number</t>
        </is>
      </c>
      <c r="B1" s="4" t="inlineStr">
        <is>
          <t>Type</t>
        </is>
      </c>
      <c r="C1" s="4" t="inlineStr">
        <is>
          <t>Title</t>
        </is>
      </c>
      <c r="D1" s="4" t="inlineStr">
        <is>
          <t>Status</t>
        </is>
      </c>
      <c r="E1" s="4" t="inlineStr">
        <is>
          <t>Company ID</t>
        </is>
      </c>
      <c r="F1" s="4" t="inlineStr">
        <is>
          <t>Original Amount</t>
        </is>
      </c>
      <c r="G1" s="4" t="inlineStr">
        <is>
          <t>Accounting Method</t>
        </is>
      </c>
      <c r="H1" s="4" t="inlineStr">
        <is>
          <t>Description</t>
        </is>
      </c>
      <c r="I1" s="4" t="inlineStr">
        <is>
          <t>Retention Percentage</t>
        </is>
      </c>
      <c r="J1" s="4" t="inlineStr">
        <is>
          <t>Start Date</t>
        </is>
      </c>
      <c r="K1" s="4" t="inlineStr">
        <is>
          <t>Est. Completion Date</t>
        </is>
      </c>
      <c r="L1" s="4" t="inlineStr">
        <is>
          <t>Contract Date</t>
        </is>
      </c>
      <c r="M1" s="4" t="inlineStr">
        <is>
          <t>Signed Date</t>
        </is>
      </c>
      <c r="N1" s="4" t="inlineStr">
        <is>
          <t>Actual Completion Date</t>
        </is>
      </c>
      <c r="O1" s="4" t="inlineStr">
        <is>
          <t>Issued On Date</t>
        </is>
      </c>
      <c r="P1" s="4" t="inlineStr">
        <is>
          <t>Inclusions</t>
        </is>
      </c>
      <c r="Q1" s="4" t="inlineStr">
        <is>
          <t>Exclusions</t>
        </is>
      </c>
    </row>
    <row r="2">
      <c r="A2" s="6" t="inlineStr">
        <is>
          <t>← Copy this data (from row 3 onwards) into Alleato's import template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2026-06-12T14:05:21Z</dcterms:created>
  <dcterms:modified xmlns:dcterms="http://purl.org/dc/terms/" xmlns:xsi="http://www.w3.org/2001/XMLSchema-instance" xsi:type="dcterms:W3CDTF">2026-06-12T14:05:21Z</dcterms:modified>
</cp:coreProperties>
</file>